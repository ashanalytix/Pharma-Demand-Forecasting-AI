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11220" activeTab="3"/>
  </bookViews>
  <sheets>
    <sheet name="Simple" sheetId="1" r:id="rId1"/>
    <sheet name="Double" sheetId="3" r:id="rId2"/>
    <sheet name="Compare" sheetId="2" r:id="rId3"/>
    <sheet name="Moving Avg" sheetId="6" r:id="rId4"/>
    <sheet name="Sheet4" sheetId="7" r:id="rId5"/>
  </sheets>
  <externalReferences>
    <externalReference r:id="rId6"/>
  </externalReferences>
  <definedNames>
    <definedName name="solver_adj" localSheetId="1" hidden="1">Double!$B$6:$B$7</definedName>
    <definedName name="solver_adj" localSheetId="3" hidden="1">'Moving Avg'!$D$28:$D$30</definedName>
    <definedName name="solver_adj" localSheetId="0" hidden="1">Simple!$B$6</definedName>
    <definedName name="solver_cvg" localSheetId="1" hidden="1">0.0001</definedName>
    <definedName name="solver_cvg" localSheetId="3" hidden="1">0.001</definedName>
    <definedName name="solver_cvg" localSheetId="0" hidden="1">0.001</definedName>
    <definedName name="solver_drv" localSheetId="1" hidden="1">1</definedName>
    <definedName name="solver_drv" localSheetId="3" hidden="1">1</definedName>
    <definedName name="solver_drv" localSheetId="0" hidden="1">1</definedName>
    <definedName name="solver_eng" localSheetId="0" hidden="1">1</definedName>
    <definedName name="solver_est" localSheetId="1" hidden="1">1</definedName>
    <definedName name="solver_est" localSheetId="3" hidden="1">1</definedName>
    <definedName name="solver_est" localSheetId="0" hidden="1">1</definedName>
    <definedName name="solver_ibd" localSheetId="0" hidden="1">2</definedName>
    <definedName name="solver_itr" localSheetId="1" hidden="1">100</definedName>
    <definedName name="solver_itr" localSheetId="3" hidden="1">100</definedName>
    <definedName name="solver_itr" localSheetId="0" hidden="1">100</definedName>
    <definedName name="solver_lhs1" localSheetId="1" hidden="1">Double!$B$61</definedName>
    <definedName name="solver_lhs1" localSheetId="3" hidden="1">'Moving Avg'!$D$28:$D$30</definedName>
    <definedName name="solver_lhs1" localSheetId="0" hidden="1">Simple!$B$6</definedName>
    <definedName name="solver_lhs2" localSheetId="1" hidden="1">Double!$B$7</definedName>
    <definedName name="solver_lhs2" localSheetId="3" hidden="1">'Moving Avg'!$D$30</definedName>
    <definedName name="solver_lhs2" localSheetId="0" hidden="1">Simple!$B$6</definedName>
    <definedName name="solver_lhs3" localSheetId="1" hidden="1">Double!$B$7</definedName>
    <definedName name="solver_lhs3" localSheetId="3" hidden="1">'Moving Avg'!$D$29</definedName>
    <definedName name="solver_lhs4" localSheetId="1" hidden="1">Double!$B$6</definedName>
    <definedName name="solver_lin" localSheetId="1" hidden="1">2</definedName>
    <definedName name="solver_lin" localSheetId="3" hidden="1">2</definedName>
    <definedName name="solver_lin" localSheetId="0" hidden="1">2</definedName>
    <definedName name="solver_lva" localSheetId="0" hidden="1">2</definedName>
    <definedName name="solver_mip" localSheetId="0" hidden="1">5000</definedName>
    <definedName name="solver_mni" localSheetId="0" hidden="1">30</definedName>
    <definedName name="solver_mrt" localSheetId="0" hidden="1">0.075</definedName>
    <definedName name="solver_neg" localSheetId="1" hidden="1">2</definedName>
    <definedName name="solver_neg" localSheetId="3" hidden="1">2</definedName>
    <definedName name="solver_neg" localSheetId="0" hidden="1">2</definedName>
    <definedName name="solver_nod" localSheetId="0" hidden="1">5000</definedName>
    <definedName name="solver_num" localSheetId="1" hidden="1">4</definedName>
    <definedName name="solver_num" localSheetId="3" hidden="1">3</definedName>
    <definedName name="solver_num" localSheetId="0" hidden="1">2</definedName>
    <definedName name="solver_nwt" localSheetId="1" hidden="1">1</definedName>
    <definedName name="solver_nwt" localSheetId="3" hidden="1">1</definedName>
    <definedName name="solver_nwt" localSheetId="0" hidden="1">1</definedName>
    <definedName name="solver_ofx" localSheetId="0" hidden="1">2</definedName>
    <definedName name="solver_opt" localSheetId="1" hidden="1">Double!$B$31</definedName>
    <definedName name="solver_opt" localSheetId="3" hidden="1">'Moving Avg'!$G$19</definedName>
    <definedName name="solver_opt" localSheetId="0" hidden="1">Simple!$B$31</definedName>
    <definedName name="solver_piv" localSheetId="0" hidden="1">0.000001</definedName>
    <definedName name="solver_pre" localSheetId="1" hidden="1">0.000001</definedName>
    <definedName name="solver_pre" localSheetId="3" hidden="1">0.000001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d" localSheetId="0" hidden="1">0.000001</definedName>
    <definedName name="solver_rel1" localSheetId="1" hidden="1">3</definedName>
    <definedName name="solver_rel1" localSheetId="3" hidden="1">3</definedName>
    <definedName name="solver_rel1" localSheetId="0" hidden="1">1</definedName>
    <definedName name="solver_rel2" localSheetId="1" hidden="1">3</definedName>
    <definedName name="solver_rel2" localSheetId="3" hidden="1">1</definedName>
    <definedName name="solver_rel2" localSheetId="0" hidden="1">3</definedName>
    <definedName name="solver_rel3" localSheetId="1" hidden="1">1</definedName>
    <definedName name="solver_rel3" localSheetId="3" hidden="1">1</definedName>
    <definedName name="solver_rel4" localSheetId="1" hidden="1">1</definedName>
    <definedName name="solver_reo" localSheetId="0" hidden="1">2</definedName>
    <definedName name="solver_rep" localSheetId="0" hidden="1">2</definedName>
    <definedName name="solver_rhs1" localSheetId="1" hidden="1">0</definedName>
    <definedName name="solver_rhs1" localSheetId="3" hidden="1">0</definedName>
    <definedName name="solver_rhs1" localSheetId="0" hidden="1">1</definedName>
    <definedName name="solver_rhs2" localSheetId="1" hidden="1">0</definedName>
    <definedName name="solver_rhs2" localSheetId="3" hidden="1">'Moving Avg'!$D$29</definedName>
    <definedName name="solver_rhs2" localSheetId="0" hidden="1">0</definedName>
    <definedName name="solver_rhs3" localSheetId="1" hidden="1">1</definedName>
    <definedName name="solver_rhs3" localSheetId="3" hidden="1">'Moving Avg'!$D$28</definedName>
    <definedName name="solver_rhs4" localSheetId="1" hidden="1">1</definedName>
    <definedName name="solver_rlx" localSheetId="0" hidden="1">2</definedName>
    <definedName name="solver_scl" localSheetId="1" hidden="1">2</definedName>
    <definedName name="solver_scl" localSheetId="3" hidden="1">2</definedName>
    <definedName name="solver_scl" localSheetId="0" hidden="1">2</definedName>
    <definedName name="solver_sho" localSheetId="1" hidden="1">2</definedName>
    <definedName name="solver_sho" localSheetId="3" hidden="1">2</definedName>
    <definedName name="solver_sho" localSheetId="0" hidden="1">2</definedName>
    <definedName name="solver_ssz" localSheetId="0" hidden="1">100</definedName>
    <definedName name="solver_std" localSheetId="0" hidden="1">1</definedName>
    <definedName name="solver_tim" localSheetId="1" hidden="1">100</definedName>
    <definedName name="solver_tim" localSheetId="3" hidden="1">100</definedName>
    <definedName name="solver_tim" localSheetId="0" hidden="1">100</definedName>
    <definedName name="solver_tol" localSheetId="1" hidden="1">0.05</definedName>
    <definedName name="solver_tol" localSheetId="3" hidden="1">0.05</definedName>
    <definedName name="solver_tol" localSheetId="0" hidden="1">0.05</definedName>
    <definedName name="solver_typ" localSheetId="1" hidden="1">2</definedName>
    <definedName name="solver_typ" localSheetId="3" hidden="1">2</definedName>
    <definedName name="solver_typ" localSheetId="0" hidden="1">2</definedName>
    <definedName name="solver_val" localSheetId="1" hidden="1">0</definedName>
    <definedName name="solver_val" localSheetId="3" hidden="1">0</definedName>
    <definedName name="solver_val" localSheetId="0" hidden="1">0</definedName>
    <definedName name="solver_ver" localSheetId="0" hidden="1">2</definedName>
  </definedNames>
  <calcPr calcId="124519"/>
</workbook>
</file>

<file path=xl/calcChain.xml><?xml version="1.0" encoding="utf-8"?>
<calcChain xmlns="http://schemas.openxmlformats.org/spreadsheetml/2006/main">
  <c r="D10" i="6"/>
  <c r="D11"/>
  <c r="D12"/>
  <c r="D13"/>
  <c r="D14"/>
  <c r="D15"/>
  <c r="D16"/>
  <c r="D17"/>
  <c r="D9"/>
  <c r="E9" s="1"/>
  <c r="E17"/>
  <c r="F17" s="1"/>
  <c r="G17" s="1"/>
  <c r="E16"/>
  <c r="F16" s="1"/>
  <c r="G16" s="1"/>
  <c r="E15"/>
  <c r="F15" s="1"/>
  <c r="G15" s="1"/>
  <c r="E14"/>
  <c r="F14" s="1"/>
  <c r="G14" s="1"/>
  <c r="E13"/>
  <c r="F13" s="1"/>
  <c r="G13" s="1"/>
  <c r="E12"/>
  <c r="F12" s="1"/>
  <c r="G12" s="1"/>
  <c r="E11"/>
  <c r="F11" s="1"/>
  <c r="G11" s="1"/>
  <c r="E10"/>
  <c r="F10" s="1"/>
  <c r="G10" s="1"/>
  <c r="G19" s="1"/>
  <c r="D43"/>
  <c r="E43" s="1"/>
  <c r="D42"/>
  <c r="E42" s="1"/>
  <c r="F42" s="1"/>
  <c r="H42" s="1"/>
  <c r="D41"/>
  <c r="E41" s="1"/>
  <c r="D40"/>
  <c r="E40" s="1"/>
  <c r="D39"/>
  <c r="E39" s="1"/>
  <c r="D38"/>
  <c r="E38" s="1"/>
  <c r="D37"/>
  <c r="E37" s="1"/>
  <c r="D36"/>
  <c r="E36" s="1"/>
  <c r="D35"/>
  <c r="E35" s="1"/>
  <c r="F2" i="1"/>
  <c r="F3" s="1"/>
  <c r="F2" i="3"/>
  <c r="G2"/>
  <c r="F19" i="6" l="1"/>
  <c r="D19"/>
  <c r="F9"/>
  <c r="E19" s="1"/>
  <c r="F36"/>
  <c r="H36" s="1"/>
  <c r="G36"/>
  <c r="F38"/>
  <c r="H38" s="1"/>
  <c r="G38"/>
  <c r="F40"/>
  <c r="H40" s="1"/>
  <c r="G40"/>
  <c r="G43"/>
  <c r="F43"/>
  <c r="H43" s="1"/>
  <c r="E44"/>
  <c r="G35"/>
  <c r="F35"/>
  <c r="G37"/>
  <c r="F37"/>
  <c r="H37" s="1"/>
  <c r="G39"/>
  <c r="F39"/>
  <c r="H39" s="1"/>
  <c r="G41"/>
  <c r="F41"/>
  <c r="H41" s="1"/>
  <c r="G42"/>
  <c r="G3" i="1"/>
  <c r="H3" s="1"/>
  <c r="I3" s="1"/>
  <c r="G4"/>
  <c r="H4" s="1"/>
  <c r="F4"/>
  <c r="G5" s="1"/>
  <c r="H5" s="1"/>
  <c r="I5" s="1"/>
  <c r="H3" i="3"/>
  <c r="I3" s="1"/>
  <c r="F5" i="1"/>
  <c r="J3"/>
  <c r="J5"/>
  <c r="J4"/>
  <c r="I4"/>
  <c r="K4"/>
  <c r="K3"/>
  <c r="G9" i="6" l="1"/>
  <c r="F44"/>
  <c r="H35"/>
  <c r="H44" s="1"/>
  <c r="G44"/>
  <c r="K5" i="1"/>
  <c r="L3" i="3"/>
  <c r="J3"/>
  <c r="K3"/>
  <c r="F3"/>
  <c r="G6" i="1"/>
  <c r="H6" s="1"/>
  <c r="F6"/>
  <c r="G3" i="3" l="1"/>
  <c r="H4" s="1"/>
  <c r="I4" s="1"/>
  <c r="J6" i="1"/>
  <c r="K6"/>
  <c r="I6"/>
  <c r="G7"/>
  <c r="H7" s="1"/>
  <c r="F7"/>
  <c r="F4" i="3" l="1"/>
  <c r="G4" s="1"/>
  <c r="H5" s="1"/>
  <c r="I5" s="1"/>
  <c r="L4"/>
  <c r="J4"/>
  <c r="K4"/>
  <c r="G8" i="1"/>
  <c r="H8" s="1"/>
  <c r="F8"/>
  <c r="J7"/>
  <c r="K7"/>
  <c r="I7"/>
  <c r="F5" i="3" l="1"/>
  <c r="L5"/>
  <c r="J5"/>
  <c r="K5"/>
  <c r="G5"/>
  <c r="H6" s="1"/>
  <c r="I6" s="1"/>
  <c r="I8" i="1"/>
  <c r="J8"/>
  <c r="K8"/>
  <c r="G9"/>
  <c r="H9" s="1"/>
  <c r="F9"/>
  <c r="L6" i="3" l="1"/>
  <c r="J6"/>
  <c r="K6"/>
  <c r="F6"/>
  <c r="G10" i="1"/>
  <c r="H10" s="1"/>
  <c r="F10"/>
  <c r="I9"/>
  <c r="J9"/>
  <c r="K9"/>
  <c r="G6" i="3" l="1"/>
  <c r="H7" s="1"/>
  <c r="I7" s="1"/>
  <c r="J10" i="1"/>
  <c r="K10"/>
  <c r="I10"/>
  <c r="G11"/>
  <c r="H11" s="1"/>
  <c r="F11"/>
  <c r="F7" i="3" l="1"/>
  <c r="G7" s="1"/>
  <c r="H8" s="1"/>
  <c r="I8" s="1"/>
  <c r="L7"/>
  <c r="J7"/>
  <c r="K7"/>
  <c r="G12" i="1"/>
  <c r="H12" s="1"/>
  <c r="F12"/>
  <c r="J11"/>
  <c r="K11"/>
  <c r="I11"/>
  <c r="L8" i="3" l="1"/>
  <c r="J8"/>
  <c r="K8"/>
  <c r="F8"/>
  <c r="I12" i="1"/>
  <c r="J12"/>
  <c r="K12"/>
  <c r="G13"/>
  <c r="H13" s="1"/>
  <c r="F13"/>
  <c r="G8" i="3" l="1"/>
  <c r="H9" s="1"/>
  <c r="I9" s="1"/>
  <c r="I13" i="1"/>
  <c r="J13"/>
  <c r="K13"/>
  <c r="F9" i="3" l="1"/>
  <c r="G9" s="1"/>
  <c r="H10" s="1"/>
  <c r="I10" s="1"/>
  <c r="L9"/>
  <c r="J9"/>
  <c r="K9"/>
  <c r="B31" i="1"/>
  <c r="B30"/>
  <c r="B29"/>
  <c r="L10" i="3" l="1"/>
  <c r="J10"/>
  <c r="K10"/>
  <c r="F10"/>
  <c r="G10" l="1"/>
  <c r="H11" s="1"/>
  <c r="I11" s="1"/>
  <c r="F11" l="1"/>
  <c r="G11" s="1"/>
  <c r="H12" s="1"/>
  <c r="I12" s="1"/>
  <c r="L11"/>
  <c r="J11"/>
  <c r="K11"/>
  <c r="L12" l="1"/>
  <c r="J12"/>
  <c r="K12"/>
  <c r="F12"/>
  <c r="G12" l="1"/>
  <c r="H13" s="1"/>
  <c r="I13" s="1"/>
  <c r="F13" l="1"/>
  <c r="G13" s="1"/>
  <c r="L13"/>
  <c r="B30" s="1"/>
  <c r="J13"/>
  <c r="B29" s="1"/>
  <c r="K13"/>
  <c r="B31" s="1"/>
</calcChain>
</file>

<file path=xl/comments1.xml><?xml version="1.0" encoding="utf-8"?>
<comments xmlns="http://schemas.openxmlformats.org/spreadsheetml/2006/main">
  <authors>
    <author>David Juran</author>
    <author>Tech. Services</author>
  </authors>
  <commentList>
    <comment ref="F4" authorId="0">
      <text>
        <r>
          <rPr>
            <b/>
            <sz val="10"/>
            <color indexed="81"/>
            <rFont val="Arial"/>
            <family val="2"/>
          </rPr>
          <t>=$B$6*E4+(1-$B$6)*F3</t>
        </r>
      </text>
    </comment>
    <comment ref="G4" authorId="0">
      <text>
        <r>
          <rPr>
            <b/>
            <sz val="10"/>
            <color indexed="81"/>
            <rFont val="Arial"/>
            <family val="2"/>
          </rPr>
          <t>=F3</t>
        </r>
      </text>
    </comment>
    <comment ref="D22" authorId="1">
      <text>
        <r>
          <rPr>
            <sz val="8"/>
            <color indexed="81"/>
            <rFont val="Tahoma"/>
            <family val="2"/>
          </rPr>
          <t>The future forecasting period begins here (with results shown in red)</t>
        </r>
      </text>
    </comment>
  </commentList>
</comments>
</file>

<file path=xl/comments2.xml><?xml version="1.0" encoding="utf-8"?>
<comments xmlns="http://schemas.openxmlformats.org/spreadsheetml/2006/main">
  <authors>
    <author>David Juran</author>
    <author>Tech. Services</author>
  </authors>
  <commentList>
    <comment ref="F5" authorId="0">
      <text>
        <r>
          <rPr>
            <b/>
            <sz val="10"/>
            <color indexed="81"/>
            <rFont val="Arial"/>
            <family val="2"/>
          </rPr>
          <t>=$B$6*E5+(1-$B$6)*(F4+G4)</t>
        </r>
      </text>
    </comment>
    <comment ref="G7" authorId="0">
      <text>
        <r>
          <rPr>
            <b/>
            <sz val="10"/>
            <color indexed="81"/>
            <rFont val="Arial"/>
            <family val="2"/>
          </rPr>
          <t>=$B$7*(F7-F6)+(1-$B$7)*G6</t>
        </r>
      </text>
    </comment>
    <comment ref="H9" authorId="0">
      <text>
        <r>
          <rPr>
            <b/>
            <sz val="10"/>
            <color indexed="81"/>
            <rFont val="Arial"/>
            <family val="2"/>
          </rPr>
          <t>=F8+G8</t>
        </r>
      </text>
    </comment>
    <comment ref="D22" authorId="1">
      <text>
        <r>
          <rPr>
            <sz val="8"/>
            <color indexed="81"/>
            <rFont val="Tahoma"/>
            <family val="2"/>
          </rPr>
          <t>The future forecasting period begins here (with results shown in red)</t>
        </r>
      </text>
    </comment>
  </commentList>
</comments>
</file>

<file path=xl/sharedStrings.xml><?xml version="1.0" encoding="utf-8"?>
<sst xmlns="http://schemas.openxmlformats.org/spreadsheetml/2006/main" count="130" uniqueCount="53">
  <si>
    <t>Forecasting results for Sales</t>
  </si>
  <si>
    <t>2011/Month</t>
  </si>
  <si>
    <t>Observation</t>
  </si>
  <si>
    <t>SmLevel</t>
  </si>
  <si>
    <t>Forecast</t>
  </si>
  <si>
    <t>Error</t>
  </si>
  <si>
    <t>abs Error</t>
  </si>
  <si>
    <t>abs % Error</t>
  </si>
  <si>
    <t>Error^2</t>
  </si>
  <si>
    <t>Simple exponential smoothing</t>
  </si>
  <si>
    <t>Smoothing constant(s)</t>
  </si>
  <si>
    <t>Estimation period</t>
  </si>
  <si>
    <t>MAE</t>
  </si>
  <si>
    <t>RMSE</t>
  </si>
  <si>
    <t>MAPE</t>
  </si>
  <si>
    <t>Simple</t>
  </si>
  <si>
    <t>SmTrend</t>
  </si>
  <si>
    <t>Double exponential smoothing</t>
  </si>
  <si>
    <t>Alpha</t>
  </si>
  <si>
    <t>Beta</t>
  </si>
  <si>
    <t>Double</t>
  </si>
  <si>
    <t>Moving Average Model</t>
  </si>
  <si>
    <t>(1) Simple MA models</t>
  </si>
  <si>
    <t>period</t>
  </si>
  <si>
    <t>month</t>
  </si>
  <si>
    <t>sales</t>
  </si>
  <si>
    <t>3-month MA forecast</t>
  </si>
  <si>
    <t>error</t>
  </si>
  <si>
    <t>ABS(error)</t>
  </si>
  <si>
    <t xml:space="preserve">    Jan</t>
  </si>
  <si>
    <t>-</t>
  </si>
  <si>
    <t xml:space="preserve">    Feb</t>
  </si>
  <si>
    <t xml:space="preserve">    Mar</t>
  </si>
  <si>
    <t xml:space="preserve">    Apr</t>
  </si>
  <si>
    <t xml:space="preserve">    May</t>
  </si>
  <si>
    <t xml:space="preserve">    June</t>
  </si>
  <si>
    <t xml:space="preserve">    July</t>
  </si>
  <si>
    <t xml:space="preserve">    Aug</t>
  </si>
  <si>
    <t xml:space="preserve">    Sep</t>
  </si>
  <si>
    <t xml:space="preserve">    Oct</t>
  </si>
  <si>
    <t xml:space="preserve">    Nov</t>
  </si>
  <si>
    <t xml:space="preserve">    Dec</t>
  </si>
  <si>
    <t>BIAS</t>
  </si>
  <si>
    <t>MAD</t>
  </si>
  <si>
    <t>MSE</t>
  </si>
  <si>
    <t>(2) Weighted MA model</t>
  </si>
  <si>
    <t>Weights</t>
  </si>
  <si>
    <t xml:space="preserve">w1 = </t>
  </si>
  <si>
    <t xml:space="preserve">w2 = </t>
  </si>
  <si>
    <t xml:space="preserve">w3 = </t>
  </si>
  <si>
    <t>3-month WMA forecast</t>
  </si>
  <si>
    <t>Squared Error</t>
  </si>
  <si>
    <t>Percent Error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</si>
</sst>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"/>
    <numFmt numFmtId="165" formatCode="0.0000"/>
  </numFmts>
  <fonts count="17">
    <font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81"/>
      <name val="Arial"/>
      <family val="2"/>
    </font>
    <font>
      <sz val="8"/>
      <color indexed="81"/>
      <name val="Tahoma"/>
      <family val="2"/>
    </font>
    <font>
      <b/>
      <sz val="10"/>
      <color indexed="63"/>
      <name val="Arial"/>
      <family val="2"/>
    </font>
    <font>
      <b/>
      <sz val="10"/>
      <color indexed="12"/>
      <name val="Arial"/>
      <family val="2"/>
    </font>
    <font>
      <b/>
      <sz val="10"/>
      <color indexed="18"/>
      <name val="Arial"/>
      <family val="2"/>
    </font>
    <font>
      <sz val="10"/>
      <color indexed="12"/>
      <name val="Arial"/>
      <family val="2"/>
    </font>
    <font>
      <sz val="10"/>
      <color indexed="18"/>
      <name val="Arial"/>
      <family val="2"/>
    </font>
    <font>
      <b/>
      <sz val="10"/>
      <color indexed="10"/>
      <name val="Arial"/>
      <family val="2"/>
    </font>
    <font>
      <b/>
      <sz val="10"/>
      <color indexed="62"/>
      <name val="Arial"/>
      <family val="2"/>
    </font>
    <font>
      <b/>
      <sz val="10"/>
      <color rgb="FF001DF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3" fontId="4" fillId="0" borderId="1" xfId="1" applyNumberFormat="1" applyFont="1" applyFill="1" applyBorder="1" applyAlignment="1" applyProtection="1">
      <alignment horizontal="center" vertical="center"/>
    </xf>
    <xf numFmtId="164" fontId="3" fillId="0" borderId="0" xfId="0" applyNumberFormat="1" applyFont="1"/>
    <xf numFmtId="0" fontId="5" fillId="0" borderId="0" xfId="0" applyFont="1"/>
    <xf numFmtId="164" fontId="0" fillId="0" borderId="0" xfId="0" applyNumberFormat="1"/>
    <xf numFmtId="0" fontId="6" fillId="0" borderId="0" xfId="0" applyFont="1" applyAlignment="1">
      <alignment horizontal="right"/>
    </xf>
    <xf numFmtId="164" fontId="6" fillId="0" borderId="0" xfId="0" applyNumberFormat="1" applyFont="1"/>
    <xf numFmtId="165" fontId="0" fillId="0" borderId="0" xfId="0" applyNumberFormat="1"/>
    <xf numFmtId="164" fontId="0" fillId="2" borderId="0" xfId="0" applyNumberFormat="1" applyFill="1"/>
    <xf numFmtId="0" fontId="1" fillId="2" borderId="0" xfId="0" applyFont="1" applyFill="1"/>
    <xf numFmtId="0" fontId="0" fillId="2" borderId="0" xfId="0" applyFill="1"/>
    <xf numFmtId="10" fontId="0" fillId="3" borderId="0" xfId="0" applyNumberFormat="1" applyFont="1" applyFill="1"/>
    <xf numFmtId="10" fontId="0" fillId="3" borderId="0" xfId="0" applyNumberFormat="1" applyFill="1"/>
    <xf numFmtId="0" fontId="0" fillId="3" borderId="0" xfId="0" applyFill="1"/>
    <xf numFmtId="0" fontId="0" fillId="0" borderId="0" xfId="0" applyAlignment="1">
      <alignment horizontal="center" wrapText="1"/>
    </xf>
    <xf numFmtId="3" fontId="4" fillId="0" borderId="2" xfId="1" applyNumberFormat="1" applyFont="1" applyFill="1" applyBorder="1" applyAlignment="1" applyProtection="1">
      <alignment horizontal="center" vertical="center"/>
    </xf>
    <xf numFmtId="0" fontId="9" fillId="0" borderId="0" xfId="0" applyFont="1"/>
    <xf numFmtId="0" fontId="5" fillId="4" borderId="0" xfId="0" applyFont="1" applyFill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2" fontId="12" fillId="0" borderId="0" xfId="0" applyNumberFormat="1" applyFont="1" applyAlignment="1">
      <alignment horizontal="center"/>
    </xf>
    <xf numFmtId="2" fontId="13" fillId="0" borderId="3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4" borderId="0" xfId="0" applyFill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2" fontId="11" fillId="0" borderId="5" xfId="0" applyNumberFormat="1" applyFont="1" applyBorder="1" applyAlignment="1">
      <alignment horizontal="center"/>
    </xf>
    <xf numFmtId="2" fontId="11" fillId="0" borderId="6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4" fillId="0" borderId="0" xfId="0" applyFont="1"/>
    <xf numFmtId="0" fontId="15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0" fillId="0" borderId="9" xfId="0" applyFont="1" applyFill="1" applyBorder="1" applyAlignment="1">
      <alignment horizontal="center"/>
    </xf>
    <xf numFmtId="2" fontId="10" fillId="2" borderId="6" xfId="0" applyNumberFormat="1" applyFont="1" applyFill="1" applyBorder="1" applyAlignment="1">
      <alignment horizontal="center"/>
    </xf>
    <xf numFmtId="165" fontId="15" fillId="2" borderId="0" xfId="0" applyNumberFormat="1" applyFont="1" applyFill="1" applyBorder="1" applyAlignment="1">
      <alignment horizontal="center"/>
    </xf>
    <xf numFmtId="0" fontId="16" fillId="0" borderId="3" xfId="0" applyFont="1" applyBorder="1" applyAlignment="1">
      <alignment horizontal="center" wrapText="1"/>
    </xf>
    <xf numFmtId="2" fontId="0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1DF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Simple!$E$3:$E$13</c:f>
              <c:numCache>
                <c:formatCode>#,##0</c:formatCode>
                <c:ptCount val="11"/>
                <c:pt idx="0">
                  <c:v>640225</c:v>
                </c:pt>
                <c:pt idx="1">
                  <c:v>604970</c:v>
                </c:pt>
                <c:pt idx="2">
                  <c:v>543826</c:v>
                </c:pt>
                <c:pt idx="3">
                  <c:v>496862</c:v>
                </c:pt>
                <c:pt idx="4">
                  <c:v>454326</c:v>
                </c:pt>
                <c:pt idx="5">
                  <c:v>512918</c:v>
                </c:pt>
                <c:pt idx="6">
                  <c:v>471113</c:v>
                </c:pt>
                <c:pt idx="7">
                  <c:v>466485</c:v>
                </c:pt>
                <c:pt idx="8">
                  <c:v>583225</c:v>
                </c:pt>
                <c:pt idx="9">
                  <c:v>672659</c:v>
                </c:pt>
                <c:pt idx="10">
                  <c:v>621762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Simple!$G$3:$G$13</c:f>
              <c:numCache>
                <c:formatCode>0.000</c:formatCode>
                <c:ptCount val="11"/>
                <c:pt idx="0">
                  <c:v>505835</c:v>
                </c:pt>
                <c:pt idx="1">
                  <c:v>605014.82000000007</c:v>
                </c:pt>
                <c:pt idx="2">
                  <c:v>604981.74283999996</c:v>
                </c:pt>
                <c:pt idx="3">
                  <c:v>559848.80462407996</c:v>
                </c:pt>
                <c:pt idx="4">
                  <c:v>513364.54281150899</c:v>
                </c:pt>
                <c:pt idx="5">
                  <c:v>469794.09821661538</c:v>
                </c:pt>
                <c:pt idx="6">
                  <c:v>501619.5377327532</c:v>
                </c:pt>
                <c:pt idx="7">
                  <c:v>479105.71288598131</c:v>
                </c:pt>
                <c:pt idx="8">
                  <c:v>469791.62677612709</c:v>
                </c:pt>
                <c:pt idx="9">
                  <c:v>553505.4562153453</c:v>
                </c:pt>
                <c:pt idx="10">
                  <c:v>641440.7715284205</c:v>
                </c:pt>
              </c:numCache>
            </c:numRef>
          </c:val>
        </c:ser>
        <c:marker val="1"/>
        <c:axId val="41983360"/>
        <c:axId val="42005632"/>
      </c:lineChart>
      <c:catAx>
        <c:axId val="41983360"/>
        <c:scaling>
          <c:orientation val="minMax"/>
        </c:scaling>
        <c:axPos val="b"/>
        <c:tickLblPos val="nextTo"/>
        <c:crossAx val="42005632"/>
        <c:crosses val="autoZero"/>
        <c:auto val="1"/>
        <c:lblAlgn val="ctr"/>
        <c:lblOffset val="100"/>
      </c:catAx>
      <c:valAx>
        <c:axId val="42005632"/>
        <c:scaling>
          <c:orientation val="minMax"/>
        </c:scaling>
        <c:axPos val="l"/>
        <c:majorGridlines/>
        <c:numFmt formatCode="#,##0" sourceLinked="1"/>
        <c:tickLblPos val="nextTo"/>
        <c:crossAx val="419833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1"/>
          <c:order val="1"/>
          <c:val>
            <c:numRef>
              <c:f>Double!$H$3:$H$13</c:f>
              <c:numCache>
                <c:formatCode>0.000</c:formatCode>
                <c:ptCount val="11"/>
                <c:pt idx="0">
                  <c:v>480543.25</c:v>
                </c:pt>
                <c:pt idx="1">
                  <c:v>614933.25</c:v>
                </c:pt>
                <c:pt idx="2">
                  <c:v>579678.25</c:v>
                </c:pt>
                <c:pt idx="3">
                  <c:v>518534.25</c:v>
                </c:pt>
                <c:pt idx="4">
                  <c:v>471570.25</c:v>
                </c:pt>
                <c:pt idx="5">
                  <c:v>429034.25</c:v>
                </c:pt>
                <c:pt idx="6">
                  <c:v>487626.25</c:v>
                </c:pt>
                <c:pt idx="7">
                  <c:v>445821.25</c:v>
                </c:pt>
                <c:pt idx="8">
                  <c:v>441193.25</c:v>
                </c:pt>
                <c:pt idx="9">
                  <c:v>557933.25</c:v>
                </c:pt>
                <c:pt idx="10">
                  <c:v>647367.25</c:v>
                </c:pt>
              </c:numCache>
            </c:numRef>
          </c:val>
        </c:ser>
        <c:ser>
          <c:idx val="0"/>
          <c:order val="0"/>
          <c:val>
            <c:numRef>
              <c:f>Double!$E$3:$E$13</c:f>
              <c:numCache>
                <c:formatCode>#,##0</c:formatCode>
                <c:ptCount val="11"/>
                <c:pt idx="0">
                  <c:v>640225</c:v>
                </c:pt>
                <c:pt idx="1">
                  <c:v>604970</c:v>
                </c:pt>
                <c:pt idx="2">
                  <c:v>543826</c:v>
                </c:pt>
                <c:pt idx="3">
                  <c:v>496862</c:v>
                </c:pt>
                <c:pt idx="4">
                  <c:v>454326</c:v>
                </c:pt>
                <c:pt idx="5">
                  <c:v>512918</c:v>
                </c:pt>
                <c:pt idx="6">
                  <c:v>471113</c:v>
                </c:pt>
                <c:pt idx="7">
                  <c:v>466485</c:v>
                </c:pt>
                <c:pt idx="8">
                  <c:v>583225</c:v>
                </c:pt>
                <c:pt idx="9">
                  <c:v>672659</c:v>
                </c:pt>
                <c:pt idx="10">
                  <c:v>621762</c:v>
                </c:pt>
              </c:numCache>
            </c:numRef>
          </c:val>
        </c:ser>
        <c:marker val="1"/>
        <c:axId val="42229120"/>
        <c:axId val="42255488"/>
      </c:lineChart>
      <c:catAx>
        <c:axId val="42229120"/>
        <c:scaling>
          <c:orientation val="minMax"/>
        </c:scaling>
        <c:axPos val="b"/>
        <c:tickLblPos val="nextTo"/>
        <c:crossAx val="42255488"/>
        <c:crosses val="autoZero"/>
        <c:auto val="1"/>
        <c:lblAlgn val="ctr"/>
        <c:lblOffset val="100"/>
      </c:catAx>
      <c:valAx>
        <c:axId val="42255488"/>
        <c:scaling>
          <c:orientation val="minMax"/>
        </c:scaling>
        <c:axPos val="l"/>
        <c:majorGridlines/>
        <c:numFmt formatCode="0.000" sourceLinked="1"/>
        <c:tickLblPos val="nextTo"/>
        <c:crossAx val="42229120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Forecast vs. Actual</a:t>
            </a:r>
          </a:p>
        </c:rich>
      </c:tx>
      <c:layout>
        <c:manualLayout>
          <c:xMode val="edge"/>
          <c:yMode val="edge"/>
          <c:x val="0.17355429744835621"/>
          <c:y val="2.56410256410256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7906384260890854"/>
          <c:y val="0.31795031024794818"/>
          <c:w val="0.4655659907831623"/>
          <c:h val="0.32820677186884983"/>
        </c:manualLayout>
      </c:layout>
      <c:lineChart>
        <c:grouping val="standard"/>
        <c:ser>
          <c:idx val="0"/>
          <c:order val="0"/>
          <c:tx>
            <c:strRef>
              <c:f>'Moving Avg'!$C$5</c:f>
              <c:strCache>
                <c:ptCount val="1"/>
                <c:pt idx="0">
                  <c:v>sales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'Moving Avg'!$C$10:$C$17</c:f>
              <c:numCache>
                <c:formatCode>#,##0</c:formatCode>
                <c:ptCount val="8"/>
                <c:pt idx="0">
                  <c:v>821441</c:v>
                </c:pt>
                <c:pt idx="1">
                  <c:v>766012</c:v>
                </c:pt>
                <c:pt idx="2">
                  <c:v>703832</c:v>
                </c:pt>
                <c:pt idx="3">
                  <c:v>645938</c:v>
                </c:pt>
                <c:pt idx="4">
                  <c:v>759625</c:v>
                </c:pt>
                <c:pt idx="5">
                  <c:v>816949</c:v>
                </c:pt>
                <c:pt idx="6">
                  <c:v>730140</c:v>
                </c:pt>
                <c:pt idx="7">
                  <c:v>690674</c:v>
                </c:pt>
              </c:numCache>
            </c:numRef>
          </c:val>
        </c:ser>
        <c:ser>
          <c:idx val="1"/>
          <c:order val="1"/>
          <c:tx>
            <c:strRef>
              <c:f>'Moving Avg'!$D$5</c:f>
              <c:strCache>
                <c:ptCount val="1"/>
                <c:pt idx="0">
                  <c:v>3-month MA forecast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'Moving Avg'!$D$10:$D$17</c:f>
              <c:numCache>
                <c:formatCode>0.00</c:formatCode>
                <c:ptCount val="8"/>
                <c:pt idx="0">
                  <c:v>728808</c:v>
                </c:pt>
                <c:pt idx="1">
                  <c:v>748317</c:v>
                </c:pt>
                <c:pt idx="2">
                  <c:v>792820.33333333337</c:v>
                </c:pt>
                <c:pt idx="3">
                  <c:v>763761.66666666663</c:v>
                </c:pt>
                <c:pt idx="4">
                  <c:v>705260.66666666663</c:v>
                </c:pt>
                <c:pt idx="5">
                  <c:v>703131.66666666663</c:v>
                </c:pt>
                <c:pt idx="6">
                  <c:v>740837.33333333337</c:v>
                </c:pt>
                <c:pt idx="7">
                  <c:v>768904.66666666663</c:v>
                </c:pt>
              </c:numCache>
            </c:numRef>
          </c:val>
        </c:ser>
        <c:ser>
          <c:idx val="2"/>
          <c:order val="2"/>
          <c:tx>
            <c:strRef>
              <c:f>'Moving Avg'!$G$5</c:f>
              <c:strCache>
                <c:ptCount val="1"/>
                <c:pt idx="0">
                  <c:v>Percent Error</c:v>
                </c:pt>
              </c:strCache>
            </c:strRef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3300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val>
            <c:numRef>
              <c:f>'Moving Avg'!$G$10:$G$17</c:f>
              <c:numCache>
                <c:formatCode>0.00</c:formatCode>
                <c:ptCount val="8"/>
                <c:pt idx="0">
                  <c:v>0.11276890245312809</c:v>
                </c:pt>
                <c:pt idx="1">
                  <c:v>2.3100160310804529E-2</c:v>
                </c:pt>
                <c:pt idx="2">
                  <c:v>0.12643405433872482</c:v>
                </c:pt>
                <c:pt idx="3">
                  <c:v>0.18240708344557316</c:v>
                </c:pt>
                <c:pt idx="4">
                  <c:v>7.1567330371345564E-2</c:v>
                </c:pt>
                <c:pt idx="5">
                  <c:v>0.13931999835159034</c:v>
                </c:pt>
                <c:pt idx="6">
                  <c:v>1.4651071484007686E-2</c:v>
                </c:pt>
                <c:pt idx="7">
                  <c:v>0.11326713712499185</c:v>
                </c:pt>
              </c:numCache>
            </c:numRef>
          </c:val>
        </c:ser>
        <c:marker val="1"/>
        <c:axId val="61809408"/>
        <c:axId val="61812096"/>
      </c:lineChart>
      <c:catAx>
        <c:axId val="61809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</a:t>
                </a:r>
              </a:p>
            </c:rich>
          </c:tx>
          <c:layout>
            <c:manualLayout>
              <c:xMode val="edge"/>
              <c:yMode val="edge"/>
              <c:x val="0.36088241035986246"/>
              <c:y val="0.8051319738878796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812096"/>
        <c:crosses val="autoZero"/>
        <c:auto val="1"/>
        <c:lblAlgn val="ctr"/>
        <c:lblOffset val="100"/>
        <c:tickLblSkip val="1"/>
        <c:tickMarkSkip val="1"/>
      </c:catAx>
      <c:valAx>
        <c:axId val="6181209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Sales</a:t>
                </a:r>
              </a:p>
            </c:rich>
          </c:tx>
          <c:layout>
            <c:manualLayout>
              <c:xMode val="edge"/>
              <c:yMode val="edge"/>
              <c:x val="4.4077134986225917E-2"/>
              <c:y val="0.38461753819234146"/>
            </c:manualLayout>
          </c:layout>
          <c:spPr>
            <a:noFill/>
            <a:ln w="25400">
              <a:noFill/>
            </a:ln>
          </c:spPr>
        </c:title>
        <c:numFmt formatCode="#,##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809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49328647968591"/>
          <c:y val="0.30769392287502528"/>
          <c:w val="0.30303117069044072"/>
          <c:h val="0.5743616663301707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813955</xdr:colOff>
      <xdr:row>19</xdr:row>
      <xdr:rowOff>164522</xdr:rowOff>
    </xdr:from>
    <xdr:to>
      <xdr:col>12</xdr:col>
      <xdr:colOff>519546</xdr:colOff>
      <xdr:row>36</xdr:row>
      <xdr:rowOff>112568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13</xdr:row>
      <xdr:rowOff>66675</xdr:rowOff>
    </xdr:from>
    <xdr:to>
      <xdr:col>10</xdr:col>
      <xdr:colOff>466725</xdr:colOff>
      <xdr:row>30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5</xdr:row>
      <xdr:rowOff>47625</xdr:rowOff>
    </xdr:from>
    <xdr:to>
      <xdr:col>19</xdr:col>
      <xdr:colOff>63499</xdr:colOff>
      <xdr:row>30</xdr:row>
      <xdr:rowOff>201085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wnloads/timeseriesmodel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Moving Avg"/>
      <sheetName val="Expon. Smth."/>
      <sheetName val="Holt's"/>
      <sheetName val="Compare"/>
    </sheetNames>
    <sheetDataSet>
      <sheetData sheetId="0"/>
      <sheetData sheetId="1">
        <row r="5">
          <cell r="C5" t="str">
            <v>sales</v>
          </cell>
          <cell r="D5" t="str">
            <v>3-month MA forecast</v>
          </cell>
          <cell r="G5" t="str">
            <v>4-month MA forecast</v>
          </cell>
        </row>
        <row r="10">
          <cell r="C10">
            <v>821441</v>
          </cell>
          <cell r="D10">
            <v>728808</v>
          </cell>
          <cell r="G10">
            <v>805905.25</v>
          </cell>
        </row>
        <row r="11">
          <cell r="C11">
            <v>766012</v>
          </cell>
          <cell r="D11">
            <v>748317</v>
          </cell>
          <cell r="G11">
            <v>751966.25</v>
          </cell>
        </row>
        <row r="12">
          <cell r="C12">
            <v>703832</v>
          </cell>
          <cell r="D12">
            <v>792820.33333333337</v>
          </cell>
          <cell r="G12">
            <v>752740.75</v>
          </cell>
        </row>
        <row r="13">
          <cell r="C13">
            <v>645938</v>
          </cell>
          <cell r="D13">
            <v>763761.66666666663</v>
          </cell>
          <cell r="G13">
            <v>770573.25</v>
          </cell>
        </row>
        <row r="14">
          <cell r="C14">
            <v>759625</v>
          </cell>
          <cell r="D14">
            <v>705260.66666666663</v>
          </cell>
          <cell r="G14">
            <v>734305.75</v>
          </cell>
        </row>
        <row r="15">
          <cell r="C15">
            <v>816949</v>
          </cell>
          <cell r="D15">
            <v>703131.66666666663</v>
          </cell>
          <cell r="G15">
            <v>718851.75</v>
          </cell>
        </row>
        <row r="16">
          <cell r="C16">
            <v>730140</v>
          </cell>
          <cell r="D16">
            <v>740837.33333333337</v>
          </cell>
          <cell r="G16">
            <v>731586</v>
          </cell>
        </row>
        <row r="17">
          <cell r="C17">
            <v>690674</v>
          </cell>
          <cell r="D17">
            <v>768904.66666666663</v>
          </cell>
          <cell r="G17">
            <v>738163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opLeftCell="A2" zoomScale="110" zoomScaleNormal="110" workbookViewId="0">
      <selection activeCell="E2" sqref="E2:E13"/>
    </sheetView>
  </sheetViews>
  <sheetFormatPr defaultRowHeight="12.75"/>
  <cols>
    <col min="1" max="2" width="14.7109375" customWidth="1"/>
    <col min="3" max="3" width="6.7109375" customWidth="1"/>
    <col min="4" max="8" width="12.7109375" customWidth="1"/>
    <col min="9" max="9" width="10.85546875" bestFit="1" customWidth="1"/>
    <col min="10" max="10" width="11" bestFit="1" customWidth="1"/>
    <col min="11" max="11" width="16.140625" bestFit="1" customWidth="1"/>
    <col min="12" max="12" width="9.42578125" customWidth="1"/>
  </cols>
  <sheetData>
    <row r="1" spans="1:11">
      <c r="A1" s="1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>
      <c r="D2" s="4">
        <v>1</v>
      </c>
      <c r="E2" s="5">
        <v>505835</v>
      </c>
      <c r="F2" s="6">
        <f>E2</f>
        <v>505835</v>
      </c>
      <c r="G2" s="6"/>
      <c r="H2" s="6"/>
      <c r="I2" s="6"/>
      <c r="J2" s="6"/>
    </row>
    <row r="3" spans="1:11">
      <c r="A3" s="7" t="s">
        <v>9</v>
      </c>
      <c r="D3" s="4">
        <v>2</v>
      </c>
      <c r="E3" s="5">
        <v>640225</v>
      </c>
      <c r="F3" s="6">
        <f>$B$6*E3+(1-$B$6)*F2</f>
        <v>605014.82000000007</v>
      </c>
      <c r="G3" s="6">
        <f>F2</f>
        <v>505835</v>
      </c>
      <c r="H3" s="6">
        <f>E3-G3</f>
        <v>134390</v>
      </c>
      <c r="I3" s="6">
        <f>ABS(H3)</f>
        <v>134390</v>
      </c>
      <c r="J3" s="6">
        <f>ABS(H3/G3)</f>
        <v>0.26567952000158157</v>
      </c>
      <c r="K3" s="8">
        <f>H3^2</f>
        <v>18060672100</v>
      </c>
    </row>
    <row r="4" spans="1:11">
      <c r="D4" s="4">
        <v>3</v>
      </c>
      <c r="E4" s="5">
        <v>604970</v>
      </c>
      <c r="F4" s="6">
        <f t="shared" ref="F4:F13" si="0">$B$6*E4+(1-$B$6)*F3</f>
        <v>604981.74283999996</v>
      </c>
      <c r="G4" s="6">
        <f t="shared" ref="G4:G13" si="1">F3</f>
        <v>605014.82000000007</v>
      </c>
      <c r="H4" s="6">
        <f t="shared" ref="H4:H13" si="2">E4-G4</f>
        <v>-44.820000000065193</v>
      </c>
      <c r="I4" s="6">
        <f t="shared" ref="I4:I13" si="3">ABS(H4)</f>
        <v>44.820000000065193</v>
      </c>
      <c r="J4" s="6">
        <f t="shared" ref="J4:J13" si="4">ABS(H4/G4)</f>
        <v>7.4080829953992178E-5</v>
      </c>
      <c r="K4" s="8">
        <f t="shared" ref="K4:K13" si="5">H4^2</f>
        <v>2008.832400005844</v>
      </c>
    </row>
    <row r="5" spans="1:11">
      <c r="A5" t="s">
        <v>10</v>
      </c>
      <c r="D5" s="4">
        <v>4</v>
      </c>
      <c r="E5" s="5">
        <v>543826</v>
      </c>
      <c r="F5" s="6">
        <f t="shared" si="0"/>
        <v>559848.80462407996</v>
      </c>
      <c r="G5" s="6">
        <f t="shared" si="1"/>
        <v>604981.74283999996</v>
      </c>
      <c r="H5" s="6">
        <f t="shared" si="2"/>
        <v>-61155.742839999963</v>
      </c>
      <c r="I5" s="6">
        <f t="shared" si="3"/>
        <v>61155.742839999963</v>
      </c>
      <c r="J5" s="6">
        <f t="shared" si="4"/>
        <v>0.10108692297541592</v>
      </c>
      <c r="K5" s="8">
        <f t="shared" si="5"/>
        <v>3740024882.3122067</v>
      </c>
    </row>
    <row r="6" spans="1:11">
      <c r="A6" s="14" t="s">
        <v>18</v>
      </c>
      <c r="B6" s="12">
        <v>0.73799999999999999</v>
      </c>
      <c r="D6" s="4">
        <v>5</v>
      </c>
      <c r="E6" s="5">
        <v>496862</v>
      </c>
      <c r="F6" s="6">
        <f t="shared" si="0"/>
        <v>513364.54281150899</v>
      </c>
      <c r="G6" s="6">
        <f t="shared" si="1"/>
        <v>559848.80462407996</v>
      </c>
      <c r="H6" s="6">
        <f t="shared" si="2"/>
        <v>-62986.804624079959</v>
      </c>
      <c r="I6" s="6">
        <f t="shared" si="3"/>
        <v>62986.804624079959</v>
      </c>
      <c r="J6" s="6">
        <f t="shared" si="4"/>
        <v>0.11250681273915289</v>
      </c>
      <c r="K6" s="8">
        <f t="shared" si="5"/>
        <v>3967337556.7520204</v>
      </c>
    </row>
    <row r="7" spans="1:11">
      <c r="D7" s="4">
        <v>6</v>
      </c>
      <c r="E7" s="5">
        <v>454326</v>
      </c>
      <c r="F7" s="6">
        <f t="shared" si="0"/>
        <v>469794.09821661538</v>
      </c>
      <c r="G7" s="6">
        <f t="shared" si="1"/>
        <v>513364.54281150899</v>
      </c>
      <c r="H7" s="6">
        <f t="shared" si="2"/>
        <v>-59038.542811508989</v>
      </c>
      <c r="I7" s="6">
        <f t="shared" si="3"/>
        <v>59038.542811508989</v>
      </c>
      <c r="J7" s="6">
        <f t="shared" si="4"/>
        <v>0.11500315640845896</v>
      </c>
      <c r="K7" s="8">
        <f t="shared" si="5"/>
        <v>3485549537.3063798</v>
      </c>
    </row>
    <row r="8" spans="1:11">
      <c r="A8" s="7"/>
      <c r="D8" s="4">
        <v>7</v>
      </c>
      <c r="E8" s="5">
        <v>512918</v>
      </c>
      <c r="F8" s="6">
        <f t="shared" si="0"/>
        <v>501619.5377327532</v>
      </c>
      <c r="G8" s="6">
        <f t="shared" si="1"/>
        <v>469794.09821661538</v>
      </c>
      <c r="H8" s="6">
        <f t="shared" si="2"/>
        <v>43123.901783384616</v>
      </c>
      <c r="I8" s="6">
        <f t="shared" si="3"/>
        <v>43123.901783384616</v>
      </c>
      <c r="J8" s="6">
        <f t="shared" si="4"/>
        <v>9.1793196098220883E-2</v>
      </c>
      <c r="K8" s="8">
        <f t="shared" si="5"/>
        <v>1859670905.0230029</v>
      </c>
    </row>
    <row r="9" spans="1:11">
      <c r="D9" s="4">
        <v>8</v>
      </c>
      <c r="E9" s="5">
        <v>471113</v>
      </c>
      <c r="F9" s="6">
        <f t="shared" si="0"/>
        <v>479105.71288598131</v>
      </c>
      <c r="G9" s="6">
        <f t="shared" si="1"/>
        <v>501619.5377327532</v>
      </c>
      <c r="H9" s="6">
        <f t="shared" si="2"/>
        <v>-30506.537732753204</v>
      </c>
      <c r="I9" s="6">
        <f t="shared" si="3"/>
        <v>30506.537732753204</v>
      </c>
      <c r="J9" s="6">
        <f t="shared" si="4"/>
        <v>6.0816087568355659E-2</v>
      </c>
      <c r="K9" s="8">
        <f t="shared" si="5"/>
        <v>930648844.43989503</v>
      </c>
    </row>
    <row r="10" spans="1:11">
      <c r="D10" s="4">
        <v>9</v>
      </c>
      <c r="E10" s="5">
        <v>466485</v>
      </c>
      <c r="F10" s="6">
        <f t="shared" si="0"/>
        <v>469791.62677612709</v>
      </c>
      <c r="G10" s="6">
        <f t="shared" si="1"/>
        <v>479105.71288598131</v>
      </c>
      <c r="H10" s="6">
        <f t="shared" si="2"/>
        <v>-12620.712885981309</v>
      </c>
      <c r="I10" s="6">
        <f t="shared" si="3"/>
        <v>12620.712885981309</v>
      </c>
      <c r="J10" s="6">
        <f t="shared" si="4"/>
        <v>2.6342230005896038E-2</v>
      </c>
      <c r="K10" s="8">
        <f t="shared" si="5"/>
        <v>159282393.75037467</v>
      </c>
    </row>
    <row r="11" spans="1:11">
      <c r="D11" s="4">
        <v>10</v>
      </c>
      <c r="E11" s="5">
        <v>583225</v>
      </c>
      <c r="F11" s="6">
        <f t="shared" si="0"/>
        <v>553505.4562153453</v>
      </c>
      <c r="G11" s="6">
        <f t="shared" si="1"/>
        <v>469791.62677612709</v>
      </c>
      <c r="H11" s="6">
        <f t="shared" si="2"/>
        <v>113433.37322387291</v>
      </c>
      <c r="I11" s="6">
        <f t="shared" si="3"/>
        <v>113433.37322387291</v>
      </c>
      <c r="J11" s="6">
        <f t="shared" si="4"/>
        <v>0.24145465086785819</v>
      </c>
      <c r="K11" s="8">
        <f t="shared" si="5"/>
        <v>12867130160.946449</v>
      </c>
    </row>
    <row r="12" spans="1:11">
      <c r="D12" s="4">
        <v>11</v>
      </c>
      <c r="E12" s="5">
        <v>672659</v>
      </c>
      <c r="F12" s="6">
        <f t="shared" si="0"/>
        <v>641440.7715284205</v>
      </c>
      <c r="G12" s="6">
        <f t="shared" si="1"/>
        <v>553505.4562153453</v>
      </c>
      <c r="H12" s="6">
        <f t="shared" si="2"/>
        <v>119153.5437846547</v>
      </c>
      <c r="I12" s="6">
        <f t="shared" si="3"/>
        <v>119153.5437846547</v>
      </c>
      <c r="J12" s="6">
        <f t="shared" si="4"/>
        <v>0.21527076643359619</v>
      </c>
      <c r="K12" s="8">
        <f t="shared" si="5"/>
        <v>14197566996.441624</v>
      </c>
    </row>
    <row r="13" spans="1:11">
      <c r="D13" s="4">
        <v>12</v>
      </c>
      <c r="E13" s="5">
        <v>621762</v>
      </c>
      <c r="F13" s="6">
        <f t="shared" si="0"/>
        <v>626917.83814044611</v>
      </c>
      <c r="G13" s="6">
        <f t="shared" si="1"/>
        <v>641440.7715284205</v>
      </c>
      <c r="H13" s="6">
        <f t="shared" si="2"/>
        <v>-19678.771528420504</v>
      </c>
      <c r="I13" s="6">
        <f t="shared" si="3"/>
        <v>19678.771528420504</v>
      </c>
      <c r="J13" s="6">
        <f t="shared" si="4"/>
        <v>3.0679015743776416E-2</v>
      </c>
      <c r="K13" s="8">
        <f t="shared" si="5"/>
        <v>387254048.86777347</v>
      </c>
    </row>
    <row r="14" spans="1:11">
      <c r="D14" s="4"/>
      <c r="E14" s="6"/>
      <c r="F14" s="6"/>
      <c r="G14" s="6"/>
      <c r="H14" s="6"/>
      <c r="I14" s="6"/>
      <c r="J14" s="6"/>
      <c r="K14" s="8"/>
    </row>
    <row r="15" spans="1:11">
      <c r="D15" s="4"/>
      <c r="E15" s="6"/>
      <c r="F15" s="6"/>
      <c r="G15" s="6"/>
      <c r="H15" s="6"/>
      <c r="I15" s="6"/>
      <c r="J15" s="6"/>
      <c r="K15" s="8"/>
    </row>
    <row r="16" spans="1:11">
      <c r="D16" s="4"/>
      <c r="E16" s="6"/>
      <c r="F16" s="6"/>
      <c r="G16" s="6"/>
      <c r="H16" s="6"/>
      <c r="I16" s="6"/>
      <c r="J16" s="6"/>
      <c r="K16" s="8"/>
    </row>
    <row r="17" spans="1:11">
      <c r="D17" s="4"/>
      <c r="E17" s="6"/>
      <c r="F17" s="6"/>
      <c r="G17" s="6"/>
      <c r="H17" s="6"/>
      <c r="I17" s="6"/>
      <c r="J17" s="6"/>
      <c r="K17" s="8"/>
    </row>
    <row r="18" spans="1:11">
      <c r="D18" s="4"/>
      <c r="E18" s="6"/>
      <c r="F18" s="6"/>
      <c r="G18" s="6"/>
      <c r="H18" s="6"/>
      <c r="I18" s="6"/>
      <c r="J18" s="6"/>
      <c r="K18" s="8"/>
    </row>
    <row r="19" spans="1:11">
      <c r="D19" s="4"/>
      <c r="E19" s="6"/>
      <c r="F19" s="6"/>
      <c r="G19" s="6"/>
      <c r="H19" s="6"/>
      <c r="I19" s="6"/>
      <c r="J19" s="6"/>
      <c r="K19" s="8"/>
    </row>
    <row r="20" spans="1:11">
      <c r="D20" s="4"/>
      <c r="E20" s="6"/>
      <c r="F20" s="6"/>
      <c r="G20" s="6"/>
      <c r="H20" s="6"/>
      <c r="I20" s="6"/>
      <c r="J20" s="6"/>
      <c r="K20" s="8"/>
    </row>
    <row r="21" spans="1:11">
      <c r="D21" s="4"/>
      <c r="E21" s="6"/>
      <c r="F21" s="6"/>
      <c r="G21" s="6"/>
      <c r="H21" s="6"/>
      <c r="I21" s="6"/>
      <c r="J21" s="6"/>
      <c r="K21" s="8"/>
    </row>
    <row r="22" spans="1:11">
      <c r="D22" s="9"/>
      <c r="E22" s="10"/>
      <c r="F22" s="10"/>
      <c r="G22" s="10"/>
      <c r="H22" s="10"/>
      <c r="I22" s="10"/>
    </row>
    <row r="23" spans="1:11">
      <c r="D23" s="9"/>
      <c r="E23" s="10"/>
      <c r="F23" s="10"/>
      <c r="G23" s="10"/>
      <c r="H23" s="10"/>
      <c r="I23" s="10"/>
    </row>
    <row r="24" spans="1:11">
      <c r="D24" s="9"/>
      <c r="E24" s="10"/>
      <c r="F24" s="10"/>
      <c r="G24" s="10"/>
      <c r="H24" s="10"/>
      <c r="I24" s="10"/>
    </row>
    <row r="25" spans="1:11">
      <c r="D25" s="9"/>
      <c r="E25" s="10"/>
      <c r="F25" s="10"/>
      <c r="H25" s="10"/>
      <c r="I25" s="10"/>
      <c r="J25" s="10"/>
    </row>
    <row r="27" spans="1:11">
      <c r="A27" s="7" t="s">
        <v>11</v>
      </c>
    </row>
    <row r="29" spans="1:11">
      <c r="A29" t="s">
        <v>12</v>
      </c>
      <c r="B29" s="11">
        <f>AVERAGE(I3:I21)</f>
        <v>59648.431928605118</v>
      </c>
    </row>
    <row r="30" spans="1:11">
      <c r="A30" t="s">
        <v>13</v>
      </c>
      <c r="B30" s="11">
        <f>SQRT(AVERAGE(K3:K21))</f>
        <v>73642.341720379205</v>
      </c>
    </row>
    <row r="31" spans="1:11">
      <c r="A31" t="s">
        <v>14</v>
      </c>
      <c r="B31" s="15">
        <f>AVERAGE(J3:J21)</f>
        <v>0.11460967633384243</v>
      </c>
    </row>
  </sheetData>
  <printOptions headings="1" gridLines="1"/>
  <pageMargins left="0.75" right="0.75" top="1" bottom="1" header="0.5" footer="0.5"/>
  <pageSetup orientation="portrait" cellComments="asDisplayed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"/>
  <sheetViews>
    <sheetView workbookViewId="0">
      <selection activeCell="E30" sqref="E30"/>
    </sheetView>
  </sheetViews>
  <sheetFormatPr defaultRowHeight="12.75"/>
  <cols>
    <col min="2" max="2" width="13.5703125" customWidth="1"/>
    <col min="4" max="4" width="14.7109375" customWidth="1"/>
    <col min="5" max="5" width="12.42578125" customWidth="1"/>
    <col min="6" max="6" width="13.7109375" customWidth="1"/>
    <col min="7" max="7" width="15.5703125" customWidth="1"/>
    <col min="8" max="8" width="24.5703125" customWidth="1"/>
    <col min="9" max="9" width="13.5703125" customWidth="1"/>
    <col min="10" max="11" width="14" customWidth="1"/>
    <col min="12" max="12" width="20.85546875" customWidth="1"/>
  </cols>
  <sheetData>
    <row r="1" spans="1:12">
      <c r="A1" s="1" t="s">
        <v>0</v>
      </c>
      <c r="D1" s="3" t="s">
        <v>1</v>
      </c>
      <c r="E1" s="3" t="s">
        <v>2</v>
      </c>
      <c r="F1" s="3" t="s">
        <v>3</v>
      </c>
      <c r="G1" s="3" t="s">
        <v>16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>
      <c r="D2" s="4">
        <v>1</v>
      </c>
      <c r="E2" s="5">
        <v>505835</v>
      </c>
      <c r="F2" s="6">
        <f>E2</f>
        <v>505835</v>
      </c>
      <c r="G2" s="6">
        <f>(E21-E2)/20</f>
        <v>-25291.75</v>
      </c>
      <c r="H2" s="6"/>
      <c r="I2" s="6"/>
      <c r="J2" s="6"/>
      <c r="K2" s="6"/>
    </row>
    <row r="3" spans="1:12">
      <c r="A3" s="7" t="s">
        <v>17</v>
      </c>
      <c r="D3" s="4">
        <v>2</v>
      </c>
      <c r="E3" s="5">
        <v>640225</v>
      </c>
      <c r="F3" s="6">
        <f>$B$6*E3+(1-$B$6)*(F2+G2)</f>
        <v>640225</v>
      </c>
      <c r="G3" s="6">
        <f>$B$7*(F3-F2)+(1-$B$7)*G2</f>
        <v>-25291.75</v>
      </c>
      <c r="H3" s="6">
        <f>F2+G2</f>
        <v>480543.25</v>
      </c>
      <c r="I3" s="6">
        <f>E3-H3</f>
        <v>159681.75</v>
      </c>
      <c r="J3" s="6">
        <f>ABS(I3)</f>
        <v>159681.75</v>
      </c>
      <c r="K3" s="6">
        <f>ABS(I3/H3)</f>
        <v>0.33229423158061216</v>
      </c>
      <c r="L3" s="8">
        <f>I3^2</f>
        <v>25498261283.0625</v>
      </c>
    </row>
    <row r="4" spans="1:12">
      <c r="D4" s="4">
        <v>3</v>
      </c>
      <c r="E4" s="5">
        <v>604970</v>
      </c>
      <c r="F4" s="6">
        <f t="shared" ref="F4:F13" si="0">$B$6*E4+(1-$B$6)*(F3+G3)</f>
        <v>604970</v>
      </c>
      <c r="G4" s="6">
        <f t="shared" ref="G4:G13" si="1">$B$7*(F4-F3)+(1-$B$7)*G3</f>
        <v>-25291.75</v>
      </c>
      <c r="H4" s="6">
        <f t="shared" ref="H4:H13" si="2">F3+G3</f>
        <v>614933.25</v>
      </c>
      <c r="I4" s="6">
        <f t="shared" ref="I4:I13" si="3">E4-H4</f>
        <v>-9963.25</v>
      </c>
      <c r="J4" s="6">
        <f t="shared" ref="J4:J13" si="4">ABS(I4)</f>
        <v>9963.25</v>
      </c>
      <c r="K4" s="6">
        <f t="shared" ref="K4:K13" si="5">ABS(I4/H4)</f>
        <v>1.6202165031733121E-2</v>
      </c>
      <c r="L4" s="8">
        <f t="shared" ref="L4:L13" si="6">I4^2</f>
        <v>99266350.5625</v>
      </c>
    </row>
    <row r="5" spans="1:12">
      <c r="A5" t="s">
        <v>10</v>
      </c>
      <c r="D5" s="4">
        <v>4</v>
      </c>
      <c r="E5" s="5">
        <v>543826</v>
      </c>
      <c r="F5" s="6">
        <f t="shared" si="0"/>
        <v>543826</v>
      </c>
      <c r="G5" s="6">
        <f t="shared" si="1"/>
        <v>-25291.75</v>
      </c>
      <c r="H5" s="6">
        <f t="shared" si="2"/>
        <v>579678.25</v>
      </c>
      <c r="I5" s="6">
        <f t="shared" si="3"/>
        <v>-35852.25</v>
      </c>
      <c r="J5" s="6">
        <f t="shared" si="4"/>
        <v>35852.25</v>
      </c>
      <c r="K5" s="6">
        <f t="shared" si="5"/>
        <v>6.1848534079034359E-2</v>
      </c>
      <c r="L5" s="8">
        <f t="shared" si="6"/>
        <v>1285383830.0625</v>
      </c>
    </row>
    <row r="6" spans="1:12">
      <c r="A6" s="13" t="s">
        <v>18</v>
      </c>
      <c r="B6" s="12">
        <v>1</v>
      </c>
      <c r="D6" s="4">
        <v>5</v>
      </c>
      <c r="E6" s="5">
        <v>496862</v>
      </c>
      <c r="F6" s="6">
        <f t="shared" si="0"/>
        <v>496862</v>
      </c>
      <c r="G6" s="6">
        <f t="shared" si="1"/>
        <v>-25291.75</v>
      </c>
      <c r="H6" s="6">
        <f t="shared" si="2"/>
        <v>518534.25</v>
      </c>
      <c r="I6" s="6">
        <f t="shared" si="3"/>
        <v>-21672.25</v>
      </c>
      <c r="J6" s="6">
        <f t="shared" si="4"/>
        <v>21672.25</v>
      </c>
      <c r="K6" s="6">
        <f t="shared" si="5"/>
        <v>4.1795214105914892E-2</v>
      </c>
      <c r="L6" s="8">
        <f t="shared" si="6"/>
        <v>469686420.0625</v>
      </c>
    </row>
    <row r="7" spans="1:12">
      <c r="A7" s="13" t="s">
        <v>19</v>
      </c>
      <c r="B7" s="12">
        <v>0</v>
      </c>
      <c r="D7" s="4">
        <v>6</v>
      </c>
      <c r="E7" s="5">
        <v>454326</v>
      </c>
      <c r="F7" s="6">
        <f t="shared" si="0"/>
        <v>454326</v>
      </c>
      <c r="G7" s="6">
        <f t="shared" si="1"/>
        <v>-25291.75</v>
      </c>
      <c r="H7" s="6">
        <f t="shared" si="2"/>
        <v>471570.25</v>
      </c>
      <c r="I7" s="6">
        <f t="shared" si="3"/>
        <v>-17244.25</v>
      </c>
      <c r="J7" s="6">
        <f t="shared" si="4"/>
        <v>17244.25</v>
      </c>
      <c r="K7" s="6">
        <f t="shared" si="5"/>
        <v>3.656772241251436E-2</v>
      </c>
      <c r="L7" s="8">
        <f t="shared" si="6"/>
        <v>297364158.0625</v>
      </c>
    </row>
    <row r="8" spans="1:12">
      <c r="D8" s="4">
        <v>7</v>
      </c>
      <c r="E8" s="5">
        <v>512918</v>
      </c>
      <c r="F8" s="6">
        <f t="shared" si="0"/>
        <v>512918</v>
      </c>
      <c r="G8" s="6">
        <f t="shared" si="1"/>
        <v>-25291.75</v>
      </c>
      <c r="H8" s="6">
        <f t="shared" si="2"/>
        <v>429034.25</v>
      </c>
      <c r="I8" s="6">
        <f t="shared" si="3"/>
        <v>83883.75</v>
      </c>
      <c r="J8" s="6">
        <f t="shared" si="4"/>
        <v>83883.75</v>
      </c>
      <c r="K8" s="6">
        <f t="shared" si="5"/>
        <v>0.19551760727727449</v>
      </c>
      <c r="L8" s="8">
        <f t="shared" si="6"/>
        <v>7036483514.0625</v>
      </c>
    </row>
    <row r="9" spans="1:12">
      <c r="D9" s="4">
        <v>8</v>
      </c>
      <c r="E9" s="5">
        <v>471113</v>
      </c>
      <c r="F9" s="6">
        <f t="shared" si="0"/>
        <v>471113</v>
      </c>
      <c r="G9" s="6">
        <f t="shared" si="1"/>
        <v>-25291.75</v>
      </c>
      <c r="H9" s="6">
        <f t="shared" si="2"/>
        <v>487626.25</v>
      </c>
      <c r="I9" s="6">
        <f t="shared" si="3"/>
        <v>-16513.25</v>
      </c>
      <c r="J9" s="6">
        <f t="shared" si="4"/>
        <v>16513.25</v>
      </c>
      <c r="K9" s="6">
        <f t="shared" si="5"/>
        <v>3.3864563279766009E-2</v>
      </c>
      <c r="L9" s="8">
        <f t="shared" si="6"/>
        <v>272687425.5625</v>
      </c>
    </row>
    <row r="10" spans="1:12">
      <c r="D10" s="4">
        <v>9</v>
      </c>
      <c r="E10" s="5">
        <v>466485</v>
      </c>
      <c r="F10" s="6">
        <f t="shared" si="0"/>
        <v>466485</v>
      </c>
      <c r="G10" s="6">
        <f t="shared" si="1"/>
        <v>-25291.75</v>
      </c>
      <c r="H10" s="6">
        <f t="shared" si="2"/>
        <v>445821.25</v>
      </c>
      <c r="I10" s="6">
        <f t="shared" si="3"/>
        <v>20663.75</v>
      </c>
      <c r="J10" s="6">
        <f t="shared" si="4"/>
        <v>20663.75</v>
      </c>
      <c r="K10" s="6">
        <f t="shared" si="5"/>
        <v>4.6349854341846651E-2</v>
      </c>
      <c r="L10" s="8">
        <f t="shared" si="6"/>
        <v>426990564.0625</v>
      </c>
    </row>
    <row r="11" spans="1:12">
      <c r="D11" s="4">
        <v>10</v>
      </c>
      <c r="E11" s="5">
        <v>583225</v>
      </c>
      <c r="F11" s="6">
        <f t="shared" si="0"/>
        <v>583225</v>
      </c>
      <c r="G11" s="6">
        <f t="shared" si="1"/>
        <v>-25291.75</v>
      </c>
      <c r="H11" s="6">
        <f t="shared" si="2"/>
        <v>441193.25</v>
      </c>
      <c r="I11" s="6">
        <f t="shared" si="3"/>
        <v>142031.75</v>
      </c>
      <c r="J11" s="6">
        <f t="shared" si="4"/>
        <v>142031.75</v>
      </c>
      <c r="K11" s="6">
        <f t="shared" si="5"/>
        <v>0.32192638939965651</v>
      </c>
      <c r="L11" s="8">
        <f t="shared" si="6"/>
        <v>20173018008.0625</v>
      </c>
    </row>
    <row r="12" spans="1:12">
      <c r="D12" s="4">
        <v>11</v>
      </c>
      <c r="E12" s="5">
        <v>672659</v>
      </c>
      <c r="F12" s="6">
        <f t="shared" si="0"/>
        <v>672659</v>
      </c>
      <c r="G12" s="6">
        <f t="shared" si="1"/>
        <v>-25291.75</v>
      </c>
      <c r="H12" s="6">
        <f t="shared" si="2"/>
        <v>557933.25</v>
      </c>
      <c r="I12" s="6">
        <f t="shared" si="3"/>
        <v>114725.75</v>
      </c>
      <c r="J12" s="6">
        <f t="shared" si="4"/>
        <v>114725.75</v>
      </c>
      <c r="K12" s="6">
        <f t="shared" si="5"/>
        <v>0.20562630027875198</v>
      </c>
      <c r="L12" s="8">
        <f t="shared" si="6"/>
        <v>13161997713.0625</v>
      </c>
    </row>
    <row r="13" spans="1:12">
      <c r="D13" s="4">
        <v>12</v>
      </c>
      <c r="E13" s="5">
        <v>621762</v>
      </c>
      <c r="F13" s="6">
        <f t="shared" si="0"/>
        <v>621762</v>
      </c>
      <c r="G13" s="6">
        <f t="shared" si="1"/>
        <v>-25291.75</v>
      </c>
      <c r="H13" s="6">
        <f t="shared" si="2"/>
        <v>647367.25</v>
      </c>
      <c r="I13" s="6">
        <f t="shared" si="3"/>
        <v>-25605.25</v>
      </c>
      <c r="J13" s="6">
        <f t="shared" si="4"/>
        <v>25605.25</v>
      </c>
      <c r="K13" s="6">
        <f t="shared" si="5"/>
        <v>3.9552896752191279E-2</v>
      </c>
      <c r="L13" s="8">
        <f t="shared" si="6"/>
        <v>655628827.5625</v>
      </c>
    </row>
    <row r="14" spans="1:12">
      <c r="D14" s="4"/>
      <c r="E14" s="6"/>
      <c r="F14" s="6"/>
      <c r="G14" s="6"/>
      <c r="H14" s="6"/>
      <c r="I14" s="6"/>
      <c r="J14" s="6"/>
      <c r="K14" s="6"/>
      <c r="L14" s="8"/>
    </row>
    <row r="15" spans="1:12">
      <c r="D15" s="4"/>
      <c r="E15" s="6"/>
      <c r="F15" s="6"/>
      <c r="G15" s="6"/>
      <c r="H15" s="6"/>
      <c r="I15" s="6"/>
      <c r="J15" s="6"/>
      <c r="K15" s="6"/>
      <c r="L15" s="8"/>
    </row>
    <row r="16" spans="1:12">
      <c r="D16" s="4"/>
      <c r="E16" s="6"/>
      <c r="F16" s="6"/>
      <c r="G16" s="6"/>
      <c r="H16" s="6"/>
      <c r="I16" s="6"/>
      <c r="J16" s="6"/>
      <c r="K16" s="6"/>
      <c r="L16" s="8"/>
    </row>
    <row r="17" spans="1:9">
      <c r="D17" s="4"/>
      <c r="E17" s="6"/>
      <c r="F17" s="6"/>
      <c r="G17" s="6"/>
      <c r="H17" s="6"/>
      <c r="I17" s="8"/>
    </row>
    <row r="18" spans="1:9">
      <c r="D18" s="4"/>
      <c r="E18" s="6"/>
      <c r="F18" s="6"/>
      <c r="G18" s="6"/>
      <c r="H18" s="6"/>
      <c r="I18" s="8"/>
    </row>
    <row r="19" spans="1:9">
      <c r="D19" s="4"/>
      <c r="E19" s="6"/>
      <c r="F19" s="6"/>
      <c r="G19" s="6"/>
      <c r="H19" s="6"/>
      <c r="I19" s="8"/>
    </row>
    <row r="20" spans="1:9">
      <c r="D20" s="4"/>
      <c r="E20" s="6"/>
      <c r="F20" s="6"/>
      <c r="G20" s="6"/>
      <c r="H20" s="6"/>
      <c r="I20" s="8"/>
    </row>
    <row r="21" spans="1:9">
      <c r="D21" s="4"/>
      <c r="E21" s="6"/>
      <c r="F21" s="6"/>
      <c r="G21" s="6"/>
      <c r="H21" s="6"/>
      <c r="I21" s="8"/>
    </row>
    <row r="22" spans="1:9">
      <c r="D22" s="9"/>
      <c r="E22" s="10"/>
      <c r="F22" s="10"/>
      <c r="G22" s="10"/>
      <c r="H22" s="10"/>
    </row>
    <row r="23" spans="1:9">
      <c r="D23" s="9"/>
      <c r="E23" s="10"/>
      <c r="F23" s="10"/>
      <c r="G23" s="10"/>
      <c r="H23" s="10"/>
    </row>
    <row r="24" spans="1:9">
      <c r="D24" s="9"/>
      <c r="E24" s="10"/>
      <c r="F24" s="10"/>
      <c r="G24" s="10"/>
      <c r="H24" s="10"/>
    </row>
    <row r="25" spans="1:9">
      <c r="D25" s="9"/>
      <c r="E25" s="10"/>
      <c r="F25" s="10"/>
      <c r="G25" s="10"/>
      <c r="H25" s="10"/>
    </row>
    <row r="27" spans="1:9">
      <c r="A27" s="7" t="s">
        <v>11</v>
      </c>
    </row>
    <row r="29" spans="1:9">
      <c r="A29" t="s">
        <v>12</v>
      </c>
      <c r="B29" s="11">
        <f>AVERAGE(J3:J21)</f>
        <v>58894.295454545456</v>
      </c>
    </row>
    <row r="30" spans="1:9">
      <c r="A30" t="s">
        <v>13</v>
      </c>
      <c r="B30" s="11">
        <f>SQRT(AVERAGE(L3:L21))</f>
        <v>79416.490212382269</v>
      </c>
    </row>
    <row r="31" spans="1:9">
      <c r="A31" t="s">
        <v>14</v>
      </c>
      <c r="B31" s="16">
        <f>AVERAGE(K3:K21)</f>
        <v>0.12104958895811779</v>
      </c>
    </row>
    <row r="61" spans="2:2">
      <c r="B61">
        <v>0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3:S8"/>
  <sheetViews>
    <sheetView workbookViewId="0">
      <selection activeCell="K20" sqref="K20"/>
    </sheetView>
  </sheetViews>
  <sheetFormatPr defaultRowHeight="12.75"/>
  <sheetData>
    <row r="3" spans="3:19">
      <c r="D3" s="18">
        <v>2011</v>
      </c>
      <c r="E3" s="18"/>
      <c r="K3" s="18">
        <v>2012</v>
      </c>
      <c r="L3" s="18"/>
      <c r="R3" s="18">
        <v>2013</v>
      </c>
      <c r="S3" s="18"/>
    </row>
    <row r="5" spans="3:19">
      <c r="D5" t="s">
        <v>15</v>
      </c>
      <c r="E5" t="s">
        <v>20</v>
      </c>
      <c r="K5" t="s">
        <v>15</v>
      </c>
      <c r="L5" t="s">
        <v>20</v>
      </c>
      <c r="R5" t="s">
        <v>15</v>
      </c>
      <c r="S5" t="s">
        <v>20</v>
      </c>
    </row>
    <row r="6" spans="3:19">
      <c r="C6" t="s">
        <v>12</v>
      </c>
      <c r="D6">
        <v>59648.431928605118</v>
      </c>
      <c r="E6">
        <v>58894.295454545456</v>
      </c>
      <c r="J6" t="s">
        <v>12</v>
      </c>
      <c r="K6">
        <v>92215.946987097908</v>
      </c>
      <c r="L6">
        <v>98424.727272727279</v>
      </c>
      <c r="Q6" t="s">
        <v>12</v>
      </c>
      <c r="R6">
        <v>102485.14589948868</v>
      </c>
      <c r="S6">
        <v>85057.377272727274</v>
      </c>
    </row>
    <row r="7" spans="3:19">
      <c r="C7" t="s">
        <v>13</v>
      </c>
      <c r="D7">
        <v>73642.341720379205</v>
      </c>
      <c r="E7">
        <v>79416.490212382269</v>
      </c>
      <c r="J7" t="s">
        <v>13</v>
      </c>
      <c r="K7">
        <v>120707.50776188665</v>
      </c>
      <c r="L7">
        <v>113094.14226489684</v>
      </c>
      <c r="Q7" t="s">
        <v>13</v>
      </c>
      <c r="R7">
        <v>122991.41375588284</v>
      </c>
      <c r="S7">
        <v>115807.82689679858</v>
      </c>
    </row>
    <row r="8" spans="3:19">
      <c r="C8" t="s">
        <v>14</v>
      </c>
      <c r="D8" s="14">
        <v>0.11460967633384243</v>
      </c>
      <c r="E8" s="17">
        <v>0.12104958895811779</v>
      </c>
      <c r="J8" t="s">
        <v>14</v>
      </c>
      <c r="K8" s="14">
        <v>0.13320714982840884</v>
      </c>
      <c r="L8" s="17">
        <v>0.17156983173091747</v>
      </c>
      <c r="Q8" t="s">
        <v>14</v>
      </c>
      <c r="R8" s="14">
        <v>0.12694035058065947</v>
      </c>
      <c r="S8" s="17">
        <v>0.12136934546613451</v>
      </c>
    </row>
  </sheetData>
  <mergeCells count="3">
    <mergeCell ref="D3:E3"/>
    <mergeCell ref="K3:L3"/>
    <mergeCell ref="R3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7"/>
  <sheetViews>
    <sheetView tabSelected="1" topLeftCell="A64" zoomScale="90" zoomScaleNormal="90" workbookViewId="0">
      <selection activeCell="F51" sqref="F51"/>
    </sheetView>
  </sheetViews>
  <sheetFormatPr defaultRowHeight="12.75"/>
  <cols>
    <col min="4" max="4" width="14" customWidth="1"/>
    <col min="5" max="5" width="14.7109375" customWidth="1"/>
    <col min="6" max="6" width="22" customWidth="1"/>
    <col min="7" max="7" width="25" customWidth="1"/>
    <col min="8" max="8" width="9.5703125" bestFit="1" customWidth="1"/>
    <col min="9" max="9" width="18.5703125" customWidth="1"/>
    <col min="260" max="260" width="9.28515625" customWidth="1"/>
    <col min="262" max="262" width="10.42578125" bestFit="1" customWidth="1"/>
    <col min="263" max="263" width="9.140625" customWidth="1"/>
    <col min="264" max="264" width="9.5703125" bestFit="1" customWidth="1"/>
    <col min="265" max="265" width="10.42578125" bestFit="1" customWidth="1"/>
    <col min="516" max="516" width="9.28515625" customWidth="1"/>
    <col min="518" max="518" width="10.42578125" bestFit="1" customWidth="1"/>
    <col min="519" max="519" width="9.140625" customWidth="1"/>
    <col min="520" max="520" width="9.5703125" bestFit="1" customWidth="1"/>
    <col min="521" max="521" width="10.42578125" bestFit="1" customWidth="1"/>
    <col min="772" max="772" width="9.28515625" customWidth="1"/>
    <col min="774" max="774" width="10.42578125" bestFit="1" customWidth="1"/>
    <col min="775" max="775" width="9.140625" customWidth="1"/>
    <col min="776" max="776" width="9.5703125" bestFit="1" customWidth="1"/>
    <col min="777" max="777" width="10.42578125" bestFit="1" customWidth="1"/>
    <col min="1028" max="1028" width="9.28515625" customWidth="1"/>
    <col min="1030" max="1030" width="10.42578125" bestFit="1" customWidth="1"/>
    <col min="1031" max="1031" width="9.140625" customWidth="1"/>
    <col min="1032" max="1032" width="9.5703125" bestFit="1" customWidth="1"/>
    <col min="1033" max="1033" width="10.42578125" bestFit="1" customWidth="1"/>
    <col min="1284" max="1284" width="9.28515625" customWidth="1"/>
    <col min="1286" max="1286" width="10.42578125" bestFit="1" customWidth="1"/>
    <col min="1287" max="1287" width="9.140625" customWidth="1"/>
    <col min="1288" max="1288" width="9.5703125" bestFit="1" customWidth="1"/>
    <col min="1289" max="1289" width="10.42578125" bestFit="1" customWidth="1"/>
    <col min="1540" max="1540" width="9.28515625" customWidth="1"/>
    <col min="1542" max="1542" width="10.42578125" bestFit="1" customWidth="1"/>
    <col min="1543" max="1543" width="9.140625" customWidth="1"/>
    <col min="1544" max="1544" width="9.5703125" bestFit="1" customWidth="1"/>
    <col min="1545" max="1545" width="10.42578125" bestFit="1" customWidth="1"/>
    <col min="1796" max="1796" width="9.28515625" customWidth="1"/>
    <col min="1798" max="1798" width="10.42578125" bestFit="1" customWidth="1"/>
    <col min="1799" max="1799" width="9.140625" customWidth="1"/>
    <col min="1800" max="1800" width="9.5703125" bestFit="1" customWidth="1"/>
    <col min="1801" max="1801" width="10.42578125" bestFit="1" customWidth="1"/>
    <col min="2052" max="2052" width="9.28515625" customWidth="1"/>
    <col min="2054" max="2054" width="10.42578125" bestFit="1" customWidth="1"/>
    <col min="2055" max="2055" width="9.140625" customWidth="1"/>
    <col min="2056" max="2056" width="9.5703125" bestFit="1" customWidth="1"/>
    <col min="2057" max="2057" width="10.42578125" bestFit="1" customWidth="1"/>
    <col min="2308" max="2308" width="9.28515625" customWidth="1"/>
    <col min="2310" max="2310" width="10.42578125" bestFit="1" customWidth="1"/>
    <col min="2311" max="2311" width="9.140625" customWidth="1"/>
    <col min="2312" max="2312" width="9.5703125" bestFit="1" customWidth="1"/>
    <col min="2313" max="2313" width="10.42578125" bestFit="1" customWidth="1"/>
    <col min="2564" max="2564" width="9.28515625" customWidth="1"/>
    <col min="2566" max="2566" width="10.42578125" bestFit="1" customWidth="1"/>
    <col min="2567" max="2567" width="9.140625" customWidth="1"/>
    <col min="2568" max="2568" width="9.5703125" bestFit="1" customWidth="1"/>
    <col min="2569" max="2569" width="10.42578125" bestFit="1" customWidth="1"/>
    <col min="2820" max="2820" width="9.28515625" customWidth="1"/>
    <col min="2822" max="2822" width="10.42578125" bestFit="1" customWidth="1"/>
    <col min="2823" max="2823" width="9.140625" customWidth="1"/>
    <col min="2824" max="2824" width="9.5703125" bestFit="1" customWidth="1"/>
    <col min="2825" max="2825" width="10.42578125" bestFit="1" customWidth="1"/>
    <col min="3076" max="3076" width="9.28515625" customWidth="1"/>
    <col min="3078" max="3078" width="10.42578125" bestFit="1" customWidth="1"/>
    <col min="3079" max="3079" width="9.140625" customWidth="1"/>
    <col min="3080" max="3080" width="9.5703125" bestFit="1" customWidth="1"/>
    <col min="3081" max="3081" width="10.42578125" bestFit="1" customWidth="1"/>
    <col min="3332" max="3332" width="9.28515625" customWidth="1"/>
    <col min="3334" max="3334" width="10.42578125" bestFit="1" customWidth="1"/>
    <col min="3335" max="3335" width="9.140625" customWidth="1"/>
    <col min="3336" max="3336" width="9.5703125" bestFit="1" customWidth="1"/>
    <col min="3337" max="3337" width="10.42578125" bestFit="1" customWidth="1"/>
    <col min="3588" max="3588" width="9.28515625" customWidth="1"/>
    <col min="3590" max="3590" width="10.42578125" bestFit="1" customWidth="1"/>
    <col min="3591" max="3591" width="9.140625" customWidth="1"/>
    <col min="3592" max="3592" width="9.5703125" bestFit="1" customWidth="1"/>
    <col min="3593" max="3593" width="10.42578125" bestFit="1" customWidth="1"/>
    <col min="3844" max="3844" width="9.28515625" customWidth="1"/>
    <col min="3846" max="3846" width="10.42578125" bestFit="1" customWidth="1"/>
    <col min="3847" max="3847" width="9.140625" customWidth="1"/>
    <col min="3848" max="3848" width="9.5703125" bestFit="1" customWidth="1"/>
    <col min="3849" max="3849" width="10.42578125" bestFit="1" customWidth="1"/>
    <col min="4100" max="4100" width="9.28515625" customWidth="1"/>
    <col min="4102" max="4102" width="10.42578125" bestFit="1" customWidth="1"/>
    <col min="4103" max="4103" width="9.140625" customWidth="1"/>
    <col min="4104" max="4104" width="9.5703125" bestFit="1" customWidth="1"/>
    <col min="4105" max="4105" width="10.42578125" bestFit="1" customWidth="1"/>
    <col min="4356" max="4356" width="9.28515625" customWidth="1"/>
    <col min="4358" max="4358" width="10.42578125" bestFit="1" customWidth="1"/>
    <col min="4359" max="4359" width="9.140625" customWidth="1"/>
    <col min="4360" max="4360" width="9.5703125" bestFit="1" customWidth="1"/>
    <col min="4361" max="4361" width="10.42578125" bestFit="1" customWidth="1"/>
    <col min="4612" max="4612" width="9.28515625" customWidth="1"/>
    <col min="4614" max="4614" width="10.42578125" bestFit="1" customWidth="1"/>
    <col min="4615" max="4615" width="9.140625" customWidth="1"/>
    <col min="4616" max="4616" width="9.5703125" bestFit="1" customWidth="1"/>
    <col min="4617" max="4617" width="10.42578125" bestFit="1" customWidth="1"/>
    <col min="4868" max="4868" width="9.28515625" customWidth="1"/>
    <col min="4870" max="4870" width="10.42578125" bestFit="1" customWidth="1"/>
    <col min="4871" max="4871" width="9.140625" customWidth="1"/>
    <col min="4872" max="4872" width="9.5703125" bestFit="1" customWidth="1"/>
    <col min="4873" max="4873" width="10.42578125" bestFit="1" customWidth="1"/>
    <col min="5124" max="5124" width="9.28515625" customWidth="1"/>
    <col min="5126" max="5126" width="10.42578125" bestFit="1" customWidth="1"/>
    <col min="5127" max="5127" width="9.140625" customWidth="1"/>
    <col min="5128" max="5128" width="9.5703125" bestFit="1" customWidth="1"/>
    <col min="5129" max="5129" width="10.42578125" bestFit="1" customWidth="1"/>
    <col min="5380" max="5380" width="9.28515625" customWidth="1"/>
    <col min="5382" max="5382" width="10.42578125" bestFit="1" customWidth="1"/>
    <col min="5383" max="5383" width="9.140625" customWidth="1"/>
    <col min="5384" max="5384" width="9.5703125" bestFit="1" customWidth="1"/>
    <col min="5385" max="5385" width="10.42578125" bestFit="1" customWidth="1"/>
    <col min="5636" max="5636" width="9.28515625" customWidth="1"/>
    <col min="5638" max="5638" width="10.42578125" bestFit="1" customWidth="1"/>
    <col min="5639" max="5639" width="9.140625" customWidth="1"/>
    <col min="5640" max="5640" width="9.5703125" bestFit="1" customWidth="1"/>
    <col min="5641" max="5641" width="10.42578125" bestFit="1" customWidth="1"/>
    <col min="5892" max="5892" width="9.28515625" customWidth="1"/>
    <col min="5894" max="5894" width="10.42578125" bestFit="1" customWidth="1"/>
    <col min="5895" max="5895" width="9.140625" customWidth="1"/>
    <col min="5896" max="5896" width="9.5703125" bestFit="1" customWidth="1"/>
    <col min="5897" max="5897" width="10.42578125" bestFit="1" customWidth="1"/>
    <col min="6148" max="6148" width="9.28515625" customWidth="1"/>
    <col min="6150" max="6150" width="10.42578125" bestFit="1" customWidth="1"/>
    <col min="6151" max="6151" width="9.140625" customWidth="1"/>
    <col min="6152" max="6152" width="9.5703125" bestFit="1" customWidth="1"/>
    <col min="6153" max="6153" width="10.42578125" bestFit="1" customWidth="1"/>
    <col min="6404" max="6404" width="9.28515625" customWidth="1"/>
    <col min="6406" max="6406" width="10.42578125" bestFit="1" customWidth="1"/>
    <col min="6407" max="6407" width="9.140625" customWidth="1"/>
    <col min="6408" max="6408" width="9.5703125" bestFit="1" customWidth="1"/>
    <col min="6409" max="6409" width="10.42578125" bestFit="1" customWidth="1"/>
    <col min="6660" max="6660" width="9.28515625" customWidth="1"/>
    <col min="6662" max="6662" width="10.42578125" bestFit="1" customWidth="1"/>
    <col min="6663" max="6663" width="9.140625" customWidth="1"/>
    <col min="6664" max="6664" width="9.5703125" bestFit="1" customWidth="1"/>
    <col min="6665" max="6665" width="10.42578125" bestFit="1" customWidth="1"/>
    <col min="6916" max="6916" width="9.28515625" customWidth="1"/>
    <col min="6918" max="6918" width="10.42578125" bestFit="1" customWidth="1"/>
    <col min="6919" max="6919" width="9.140625" customWidth="1"/>
    <col min="6920" max="6920" width="9.5703125" bestFit="1" customWidth="1"/>
    <col min="6921" max="6921" width="10.42578125" bestFit="1" customWidth="1"/>
    <col min="7172" max="7172" width="9.28515625" customWidth="1"/>
    <col min="7174" max="7174" width="10.42578125" bestFit="1" customWidth="1"/>
    <col min="7175" max="7175" width="9.140625" customWidth="1"/>
    <col min="7176" max="7176" width="9.5703125" bestFit="1" customWidth="1"/>
    <col min="7177" max="7177" width="10.42578125" bestFit="1" customWidth="1"/>
    <col min="7428" max="7428" width="9.28515625" customWidth="1"/>
    <col min="7430" max="7430" width="10.42578125" bestFit="1" customWidth="1"/>
    <col min="7431" max="7431" width="9.140625" customWidth="1"/>
    <col min="7432" max="7432" width="9.5703125" bestFit="1" customWidth="1"/>
    <col min="7433" max="7433" width="10.42578125" bestFit="1" customWidth="1"/>
    <col min="7684" max="7684" width="9.28515625" customWidth="1"/>
    <col min="7686" max="7686" width="10.42578125" bestFit="1" customWidth="1"/>
    <col min="7687" max="7687" width="9.140625" customWidth="1"/>
    <col min="7688" max="7688" width="9.5703125" bestFit="1" customWidth="1"/>
    <col min="7689" max="7689" width="10.42578125" bestFit="1" customWidth="1"/>
    <col min="7940" max="7940" width="9.28515625" customWidth="1"/>
    <col min="7942" max="7942" width="10.42578125" bestFit="1" customWidth="1"/>
    <col min="7943" max="7943" width="9.140625" customWidth="1"/>
    <col min="7944" max="7944" width="9.5703125" bestFit="1" customWidth="1"/>
    <col min="7945" max="7945" width="10.42578125" bestFit="1" customWidth="1"/>
    <col min="8196" max="8196" width="9.28515625" customWidth="1"/>
    <col min="8198" max="8198" width="10.42578125" bestFit="1" customWidth="1"/>
    <col min="8199" max="8199" width="9.140625" customWidth="1"/>
    <col min="8200" max="8200" width="9.5703125" bestFit="1" customWidth="1"/>
    <col min="8201" max="8201" width="10.42578125" bestFit="1" customWidth="1"/>
    <col min="8452" max="8452" width="9.28515625" customWidth="1"/>
    <col min="8454" max="8454" width="10.42578125" bestFit="1" customWidth="1"/>
    <col min="8455" max="8455" width="9.140625" customWidth="1"/>
    <col min="8456" max="8456" width="9.5703125" bestFit="1" customWidth="1"/>
    <col min="8457" max="8457" width="10.42578125" bestFit="1" customWidth="1"/>
    <col min="8708" max="8708" width="9.28515625" customWidth="1"/>
    <col min="8710" max="8710" width="10.42578125" bestFit="1" customWidth="1"/>
    <col min="8711" max="8711" width="9.140625" customWidth="1"/>
    <col min="8712" max="8712" width="9.5703125" bestFit="1" customWidth="1"/>
    <col min="8713" max="8713" width="10.42578125" bestFit="1" customWidth="1"/>
    <col min="8964" max="8964" width="9.28515625" customWidth="1"/>
    <col min="8966" max="8966" width="10.42578125" bestFit="1" customWidth="1"/>
    <col min="8967" max="8967" width="9.140625" customWidth="1"/>
    <col min="8968" max="8968" width="9.5703125" bestFit="1" customWidth="1"/>
    <col min="8969" max="8969" width="10.42578125" bestFit="1" customWidth="1"/>
    <col min="9220" max="9220" width="9.28515625" customWidth="1"/>
    <col min="9222" max="9222" width="10.42578125" bestFit="1" customWidth="1"/>
    <col min="9223" max="9223" width="9.140625" customWidth="1"/>
    <col min="9224" max="9224" width="9.5703125" bestFit="1" customWidth="1"/>
    <col min="9225" max="9225" width="10.42578125" bestFit="1" customWidth="1"/>
    <col min="9476" max="9476" width="9.28515625" customWidth="1"/>
    <col min="9478" max="9478" width="10.42578125" bestFit="1" customWidth="1"/>
    <col min="9479" max="9479" width="9.140625" customWidth="1"/>
    <col min="9480" max="9480" width="9.5703125" bestFit="1" customWidth="1"/>
    <col min="9481" max="9481" width="10.42578125" bestFit="1" customWidth="1"/>
    <col min="9732" max="9732" width="9.28515625" customWidth="1"/>
    <col min="9734" max="9734" width="10.42578125" bestFit="1" customWidth="1"/>
    <col min="9735" max="9735" width="9.140625" customWidth="1"/>
    <col min="9736" max="9736" width="9.5703125" bestFit="1" customWidth="1"/>
    <col min="9737" max="9737" width="10.42578125" bestFit="1" customWidth="1"/>
    <col min="9988" max="9988" width="9.28515625" customWidth="1"/>
    <col min="9990" max="9990" width="10.42578125" bestFit="1" customWidth="1"/>
    <col min="9991" max="9991" width="9.140625" customWidth="1"/>
    <col min="9992" max="9992" width="9.5703125" bestFit="1" customWidth="1"/>
    <col min="9993" max="9993" width="10.42578125" bestFit="1" customWidth="1"/>
    <col min="10244" max="10244" width="9.28515625" customWidth="1"/>
    <col min="10246" max="10246" width="10.42578125" bestFit="1" customWidth="1"/>
    <col min="10247" max="10247" width="9.140625" customWidth="1"/>
    <col min="10248" max="10248" width="9.5703125" bestFit="1" customWidth="1"/>
    <col min="10249" max="10249" width="10.42578125" bestFit="1" customWidth="1"/>
    <col min="10500" max="10500" width="9.28515625" customWidth="1"/>
    <col min="10502" max="10502" width="10.42578125" bestFit="1" customWidth="1"/>
    <col min="10503" max="10503" width="9.140625" customWidth="1"/>
    <col min="10504" max="10504" width="9.5703125" bestFit="1" customWidth="1"/>
    <col min="10505" max="10505" width="10.42578125" bestFit="1" customWidth="1"/>
    <col min="10756" max="10756" width="9.28515625" customWidth="1"/>
    <col min="10758" max="10758" width="10.42578125" bestFit="1" customWidth="1"/>
    <col min="10759" max="10759" width="9.140625" customWidth="1"/>
    <col min="10760" max="10760" width="9.5703125" bestFit="1" customWidth="1"/>
    <col min="10761" max="10761" width="10.42578125" bestFit="1" customWidth="1"/>
    <col min="11012" max="11012" width="9.28515625" customWidth="1"/>
    <col min="11014" max="11014" width="10.42578125" bestFit="1" customWidth="1"/>
    <col min="11015" max="11015" width="9.140625" customWidth="1"/>
    <col min="11016" max="11016" width="9.5703125" bestFit="1" customWidth="1"/>
    <col min="11017" max="11017" width="10.42578125" bestFit="1" customWidth="1"/>
    <col min="11268" max="11268" width="9.28515625" customWidth="1"/>
    <col min="11270" max="11270" width="10.42578125" bestFit="1" customWidth="1"/>
    <col min="11271" max="11271" width="9.140625" customWidth="1"/>
    <col min="11272" max="11272" width="9.5703125" bestFit="1" customWidth="1"/>
    <col min="11273" max="11273" width="10.42578125" bestFit="1" customWidth="1"/>
    <col min="11524" max="11524" width="9.28515625" customWidth="1"/>
    <col min="11526" max="11526" width="10.42578125" bestFit="1" customWidth="1"/>
    <col min="11527" max="11527" width="9.140625" customWidth="1"/>
    <col min="11528" max="11528" width="9.5703125" bestFit="1" customWidth="1"/>
    <col min="11529" max="11529" width="10.42578125" bestFit="1" customWidth="1"/>
    <col min="11780" max="11780" width="9.28515625" customWidth="1"/>
    <col min="11782" max="11782" width="10.42578125" bestFit="1" customWidth="1"/>
    <col min="11783" max="11783" width="9.140625" customWidth="1"/>
    <col min="11784" max="11784" width="9.5703125" bestFit="1" customWidth="1"/>
    <col min="11785" max="11785" width="10.42578125" bestFit="1" customWidth="1"/>
    <col min="12036" max="12036" width="9.28515625" customWidth="1"/>
    <col min="12038" max="12038" width="10.42578125" bestFit="1" customWidth="1"/>
    <col min="12039" max="12039" width="9.140625" customWidth="1"/>
    <col min="12040" max="12040" width="9.5703125" bestFit="1" customWidth="1"/>
    <col min="12041" max="12041" width="10.42578125" bestFit="1" customWidth="1"/>
    <col min="12292" max="12292" width="9.28515625" customWidth="1"/>
    <col min="12294" max="12294" width="10.42578125" bestFit="1" customWidth="1"/>
    <col min="12295" max="12295" width="9.140625" customWidth="1"/>
    <col min="12296" max="12296" width="9.5703125" bestFit="1" customWidth="1"/>
    <col min="12297" max="12297" width="10.42578125" bestFit="1" customWidth="1"/>
    <col min="12548" max="12548" width="9.28515625" customWidth="1"/>
    <col min="12550" max="12550" width="10.42578125" bestFit="1" customWidth="1"/>
    <col min="12551" max="12551" width="9.140625" customWidth="1"/>
    <col min="12552" max="12552" width="9.5703125" bestFit="1" customWidth="1"/>
    <col min="12553" max="12553" width="10.42578125" bestFit="1" customWidth="1"/>
    <col min="12804" max="12804" width="9.28515625" customWidth="1"/>
    <col min="12806" max="12806" width="10.42578125" bestFit="1" customWidth="1"/>
    <col min="12807" max="12807" width="9.140625" customWidth="1"/>
    <col min="12808" max="12808" width="9.5703125" bestFit="1" customWidth="1"/>
    <col min="12809" max="12809" width="10.42578125" bestFit="1" customWidth="1"/>
    <col min="13060" max="13060" width="9.28515625" customWidth="1"/>
    <col min="13062" max="13062" width="10.42578125" bestFit="1" customWidth="1"/>
    <col min="13063" max="13063" width="9.140625" customWidth="1"/>
    <col min="13064" max="13064" width="9.5703125" bestFit="1" customWidth="1"/>
    <col min="13065" max="13065" width="10.42578125" bestFit="1" customWidth="1"/>
    <col min="13316" max="13316" width="9.28515625" customWidth="1"/>
    <col min="13318" max="13318" width="10.42578125" bestFit="1" customWidth="1"/>
    <col min="13319" max="13319" width="9.140625" customWidth="1"/>
    <col min="13320" max="13320" width="9.5703125" bestFit="1" customWidth="1"/>
    <col min="13321" max="13321" width="10.42578125" bestFit="1" customWidth="1"/>
    <col min="13572" max="13572" width="9.28515625" customWidth="1"/>
    <col min="13574" max="13574" width="10.42578125" bestFit="1" customWidth="1"/>
    <col min="13575" max="13575" width="9.140625" customWidth="1"/>
    <col min="13576" max="13576" width="9.5703125" bestFit="1" customWidth="1"/>
    <col min="13577" max="13577" width="10.42578125" bestFit="1" customWidth="1"/>
    <col min="13828" max="13828" width="9.28515625" customWidth="1"/>
    <col min="13830" max="13830" width="10.42578125" bestFit="1" customWidth="1"/>
    <col min="13831" max="13831" width="9.140625" customWidth="1"/>
    <col min="13832" max="13832" width="9.5703125" bestFit="1" customWidth="1"/>
    <col min="13833" max="13833" width="10.42578125" bestFit="1" customWidth="1"/>
    <col min="14084" max="14084" width="9.28515625" customWidth="1"/>
    <col min="14086" max="14086" width="10.42578125" bestFit="1" customWidth="1"/>
    <col min="14087" max="14087" width="9.140625" customWidth="1"/>
    <col min="14088" max="14088" width="9.5703125" bestFit="1" customWidth="1"/>
    <col min="14089" max="14089" width="10.42578125" bestFit="1" customWidth="1"/>
    <col min="14340" max="14340" width="9.28515625" customWidth="1"/>
    <col min="14342" max="14342" width="10.42578125" bestFit="1" customWidth="1"/>
    <col min="14343" max="14343" width="9.140625" customWidth="1"/>
    <col min="14344" max="14344" width="9.5703125" bestFit="1" customWidth="1"/>
    <col min="14345" max="14345" width="10.42578125" bestFit="1" customWidth="1"/>
    <col min="14596" max="14596" width="9.28515625" customWidth="1"/>
    <col min="14598" max="14598" width="10.42578125" bestFit="1" customWidth="1"/>
    <col min="14599" max="14599" width="9.140625" customWidth="1"/>
    <col min="14600" max="14600" width="9.5703125" bestFit="1" customWidth="1"/>
    <col min="14601" max="14601" width="10.42578125" bestFit="1" customWidth="1"/>
    <col min="14852" max="14852" width="9.28515625" customWidth="1"/>
    <col min="14854" max="14854" width="10.42578125" bestFit="1" customWidth="1"/>
    <col min="14855" max="14855" width="9.140625" customWidth="1"/>
    <col min="14856" max="14856" width="9.5703125" bestFit="1" customWidth="1"/>
    <col min="14857" max="14857" width="10.42578125" bestFit="1" customWidth="1"/>
    <col min="15108" max="15108" width="9.28515625" customWidth="1"/>
    <col min="15110" max="15110" width="10.42578125" bestFit="1" customWidth="1"/>
    <col min="15111" max="15111" width="9.140625" customWidth="1"/>
    <col min="15112" max="15112" width="9.5703125" bestFit="1" customWidth="1"/>
    <col min="15113" max="15113" width="10.42578125" bestFit="1" customWidth="1"/>
    <col min="15364" max="15364" width="9.28515625" customWidth="1"/>
    <col min="15366" max="15366" width="10.42578125" bestFit="1" customWidth="1"/>
    <col min="15367" max="15367" width="9.140625" customWidth="1"/>
    <col min="15368" max="15368" width="9.5703125" bestFit="1" customWidth="1"/>
    <col min="15369" max="15369" width="10.42578125" bestFit="1" customWidth="1"/>
    <col min="15620" max="15620" width="9.28515625" customWidth="1"/>
    <col min="15622" max="15622" width="10.42578125" bestFit="1" customWidth="1"/>
    <col min="15623" max="15623" width="9.140625" customWidth="1"/>
    <col min="15624" max="15624" width="9.5703125" bestFit="1" customWidth="1"/>
    <col min="15625" max="15625" width="10.42578125" bestFit="1" customWidth="1"/>
    <col min="15876" max="15876" width="9.28515625" customWidth="1"/>
    <col min="15878" max="15878" width="10.42578125" bestFit="1" customWidth="1"/>
    <col min="15879" max="15879" width="9.140625" customWidth="1"/>
    <col min="15880" max="15880" width="9.5703125" bestFit="1" customWidth="1"/>
    <col min="15881" max="15881" width="10.42578125" bestFit="1" customWidth="1"/>
    <col min="16132" max="16132" width="9.28515625" customWidth="1"/>
    <col min="16134" max="16134" width="10.42578125" bestFit="1" customWidth="1"/>
    <col min="16135" max="16135" width="9.140625" customWidth="1"/>
    <col min="16136" max="16136" width="9.5703125" bestFit="1" customWidth="1"/>
    <col min="16137" max="16137" width="10.42578125" bestFit="1" customWidth="1"/>
  </cols>
  <sheetData>
    <row r="1" spans="1:9">
      <c r="A1" s="20" t="s">
        <v>21</v>
      </c>
    </row>
    <row r="2" spans="1:9">
      <c r="A2" s="20"/>
    </row>
    <row r="3" spans="1:9">
      <c r="A3" s="7" t="s">
        <v>22</v>
      </c>
    </row>
    <row r="4" spans="1:9">
      <c r="A4" s="7"/>
    </row>
    <row r="5" spans="1:9" ht="25.5">
      <c r="A5" s="21" t="s">
        <v>23</v>
      </c>
      <c r="B5" s="21" t="s">
        <v>24</v>
      </c>
      <c r="C5" s="21" t="s">
        <v>25</v>
      </c>
      <c r="D5" s="22" t="s">
        <v>26</v>
      </c>
      <c r="E5" s="23" t="s">
        <v>27</v>
      </c>
      <c r="F5" s="23" t="s">
        <v>28</v>
      </c>
      <c r="G5" s="50" t="s">
        <v>52</v>
      </c>
      <c r="H5" s="24"/>
      <c r="I5" s="24"/>
    </row>
    <row r="6" spans="1:9">
      <c r="A6" s="25">
        <v>1</v>
      </c>
      <c r="B6" s="25" t="s">
        <v>29</v>
      </c>
      <c r="C6" s="5">
        <v>1037197</v>
      </c>
      <c r="D6" s="26" t="s">
        <v>30</v>
      </c>
      <c r="E6" s="26" t="s">
        <v>30</v>
      </c>
      <c r="F6" s="26" t="s">
        <v>30</v>
      </c>
      <c r="G6" s="27" t="s">
        <v>30</v>
      </c>
      <c r="H6" s="28"/>
      <c r="I6" s="28"/>
    </row>
    <row r="7" spans="1:9">
      <c r="A7" s="25">
        <v>2</v>
      </c>
      <c r="B7" s="25" t="s">
        <v>31</v>
      </c>
      <c r="C7" s="5">
        <v>762914</v>
      </c>
      <c r="D7" s="26" t="s">
        <v>30</v>
      </c>
      <c r="E7" s="26" t="s">
        <v>30</v>
      </c>
      <c r="F7" s="26" t="s">
        <v>30</v>
      </c>
      <c r="G7" s="27" t="s">
        <v>30</v>
      </c>
      <c r="H7" s="28"/>
      <c r="I7" s="28"/>
    </row>
    <row r="8" spans="1:9">
      <c r="A8" s="25">
        <v>3</v>
      </c>
      <c r="B8" s="25" t="s">
        <v>32</v>
      </c>
      <c r="C8" s="5">
        <v>632502</v>
      </c>
      <c r="D8" s="26" t="s">
        <v>30</v>
      </c>
      <c r="E8" s="26" t="s">
        <v>30</v>
      </c>
      <c r="F8" s="26" t="s">
        <v>30</v>
      </c>
      <c r="G8" s="27" t="s">
        <v>30</v>
      </c>
      <c r="H8" s="28"/>
      <c r="I8" s="28"/>
    </row>
    <row r="9" spans="1:9">
      <c r="A9" s="25">
        <v>4</v>
      </c>
      <c r="B9" s="25" t="s">
        <v>33</v>
      </c>
      <c r="C9" s="5">
        <v>791008</v>
      </c>
      <c r="D9" s="51">
        <f>AVERAGE(C6,C7,C8)</f>
        <v>810871</v>
      </c>
      <c r="E9" s="51">
        <f>C9-D9</f>
        <v>-19863</v>
      </c>
      <c r="F9" s="51">
        <f t="shared" ref="F9:F17" si="0">ABS(E9)</f>
        <v>19863</v>
      </c>
      <c r="G9" s="27">
        <f>F9/C9</f>
        <v>2.5110997613172054E-2</v>
      </c>
      <c r="H9" s="28"/>
      <c r="I9" s="28"/>
    </row>
    <row r="10" spans="1:9">
      <c r="A10" s="25">
        <v>5</v>
      </c>
      <c r="B10" s="25" t="s">
        <v>34</v>
      </c>
      <c r="C10" s="5">
        <v>821441</v>
      </c>
      <c r="D10" s="51">
        <f t="shared" ref="D10:D17" si="1">AVERAGE(C7,C8,C9)</f>
        <v>728808</v>
      </c>
      <c r="E10" s="51">
        <f>C10-D10</f>
        <v>92633</v>
      </c>
      <c r="F10" s="51">
        <f t="shared" si="0"/>
        <v>92633</v>
      </c>
      <c r="G10" s="27">
        <f t="shared" ref="G10:G17" si="2">F10/C10</f>
        <v>0.11276890245312809</v>
      </c>
      <c r="H10" s="28"/>
      <c r="I10" s="28"/>
    </row>
    <row r="11" spans="1:9">
      <c r="A11" s="25">
        <v>6</v>
      </c>
      <c r="B11" s="25" t="s">
        <v>35</v>
      </c>
      <c r="C11" s="5">
        <v>766012</v>
      </c>
      <c r="D11" s="51">
        <f t="shared" si="1"/>
        <v>748317</v>
      </c>
      <c r="E11" s="51">
        <f t="shared" ref="E11:E17" si="3">C11-D11</f>
        <v>17695</v>
      </c>
      <c r="F11" s="51">
        <f t="shared" si="0"/>
        <v>17695</v>
      </c>
      <c r="G11" s="27">
        <f t="shared" si="2"/>
        <v>2.3100160310804529E-2</v>
      </c>
      <c r="H11" s="28"/>
      <c r="I11" s="28"/>
    </row>
    <row r="12" spans="1:9">
      <c r="A12" s="25">
        <v>7</v>
      </c>
      <c r="B12" s="25" t="s">
        <v>36</v>
      </c>
      <c r="C12" s="5">
        <v>703832</v>
      </c>
      <c r="D12" s="51">
        <f t="shared" si="1"/>
        <v>792820.33333333337</v>
      </c>
      <c r="E12" s="51">
        <f t="shared" si="3"/>
        <v>-88988.333333333372</v>
      </c>
      <c r="F12" s="51">
        <f t="shared" si="0"/>
        <v>88988.333333333372</v>
      </c>
      <c r="G12" s="27">
        <f t="shared" si="2"/>
        <v>0.12643405433872482</v>
      </c>
      <c r="H12" s="28"/>
      <c r="I12" s="28"/>
    </row>
    <row r="13" spans="1:9">
      <c r="A13" s="25">
        <v>8</v>
      </c>
      <c r="B13" s="25" t="s">
        <v>37</v>
      </c>
      <c r="C13" s="5">
        <v>645938</v>
      </c>
      <c r="D13" s="51">
        <f t="shared" si="1"/>
        <v>763761.66666666663</v>
      </c>
      <c r="E13" s="51">
        <f t="shared" si="3"/>
        <v>-117823.66666666663</v>
      </c>
      <c r="F13" s="51">
        <f t="shared" si="0"/>
        <v>117823.66666666663</v>
      </c>
      <c r="G13" s="27">
        <f t="shared" si="2"/>
        <v>0.18240708344557316</v>
      </c>
      <c r="H13" s="28"/>
      <c r="I13" s="28"/>
    </row>
    <row r="14" spans="1:9">
      <c r="A14" s="25">
        <v>9</v>
      </c>
      <c r="B14" s="25" t="s">
        <v>38</v>
      </c>
      <c r="C14" s="5">
        <v>759625</v>
      </c>
      <c r="D14" s="51">
        <f t="shared" si="1"/>
        <v>705260.66666666663</v>
      </c>
      <c r="E14" s="51">
        <f t="shared" si="3"/>
        <v>54364.333333333372</v>
      </c>
      <c r="F14" s="51">
        <f t="shared" si="0"/>
        <v>54364.333333333372</v>
      </c>
      <c r="G14" s="27">
        <f t="shared" si="2"/>
        <v>7.1567330371345564E-2</v>
      </c>
      <c r="H14" s="28"/>
      <c r="I14" s="28"/>
    </row>
    <row r="15" spans="1:9">
      <c r="A15" s="25">
        <v>10</v>
      </c>
      <c r="B15" s="25" t="s">
        <v>39</v>
      </c>
      <c r="C15" s="5">
        <v>816949</v>
      </c>
      <c r="D15" s="51">
        <f t="shared" si="1"/>
        <v>703131.66666666663</v>
      </c>
      <c r="E15" s="51">
        <f t="shared" si="3"/>
        <v>113817.33333333337</v>
      </c>
      <c r="F15" s="51">
        <f t="shared" si="0"/>
        <v>113817.33333333337</v>
      </c>
      <c r="G15" s="27">
        <f t="shared" si="2"/>
        <v>0.13931999835159034</v>
      </c>
      <c r="H15" s="28"/>
      <c r="I15" s="28"/>
    </row>
    <row r="16" spans="1:9">
      <c r="A16" s="25">
        <v>11</v>
      </c>
      <c r="B16" s="25" t="s">
        <v>40</v>
      </c>
      <c r="C16" s="5">
        <v>730140</v>
      </c>
      <c r="D16" s="51">
        <f t="shared" si="1"/>
        <v>740837.33333333337</v>
      </c>
      <c r="E16" s="51">
        <f t="shared" si="3"/>
        <v>-10697.333333333372</v>
      </c>
      <c r="F16" s="51">
        <f t="shared" si="0"/>
        <v>10697.333333333372</v>
      </c>
      <c r="G16" s="27">
        <f t="shared" si="2"/>
        <v>1.4651071484007686E-2</v>
      </c>
      <c r="H16" s="28"/>
      <c r="I16" s="28"/>
    </row>
    <row r="17" spans="1:9">
      <c r="A17" s="29">
        <v>12</v>
      </c>
      <c r="B17" s="29" t="s">
        <v>41</v>
      </c>
      <c r="C17" s="19">
        <v>690674</v>
      </c>
      <c r="D17" s="51">
        <f t="shared" si="1"/>
        <v>768904.66666666663</v>
      </c>
      <c r="E17" s="51">
        <f t="shared" si="3"/>
        <v>-78230.666666666628</v>
      </c>
      <c r="F17" s="51">
        <f t="shared" si="0"/>
        <v>78230.666666666628</v>
      </c>
      <c r="G17" s="27">
        <f t="shared" si="2"/>
        <v>0.11326713712499185</v>
      </c>
      <c r="H17" s="28"/>
      <c r="I17" s="28"/>
    </row>
    <row r="19" spans="1:9">
      <c r="D19" s="30">
        <f>AVERAGE(E9:E17)</f>
        <v>-4121.4814814814727</v>
      </c>
      <c r="E19" s="31">
        <f>AVERAGE(F9:F17)</f>
        <v>66012.518518518526</v>
      </c>
      <c r="F19" s="31">
        <f>SUMSQ(E9:E17)/COUNT(E9:E17)</f>
        <v>5914911181.4074078</v>
      </c>
      <c r="G19" s="48">
        <f>AVERAGE(G10:G18)</f>
        <v>9.7939467235020755E-2</v>
      </c>
      <c r="H19" s="32"/>
      <c r="I19" s="33"/>
    </row>
    <row r="20" spans="1:9">
      <c r="D20" s="34" t="s">
        <v>42</v>
      </c>
      <c r="E20" s="35" t="s">
        <v>43</v>
      </c>
      <c r="F20" s="36" t="s">
        <v>44</v>
      </c>
      <c r="G20" s="47" t="s">
        <v>14</v>
      </c>
      <c r="H20" s="37"/>
      <c r="I20" s="38"/>
    </row>
    <row r="22" spans="1:9">
      <c r="A22" s="39"/>
    </row>
    <row r="25" spans="1:9">
      <c r="A25" s="7" t="s">
        <v>45</v>
      </c>
    </row>
    <row r="26" spans="1:9">
      <c r="A26" s="7"/>
    </row>
    <row r="27" spans="1:9">
      <c r="A27" s="7"/>
      <c r="C27" s="40"/>
      <c r="D27" s="41" t="s">
        <v>46</v>
      </c>
    </row>
    <row r="28" spans="1:9">
      <c r="A28" s="7"/>
      <c r="C28" s="42" t="s">
        <v>47</v>
      </c>
      <c r="D28" s="49">
        <v>0.5</v>
      </c>
    </row>
    <row r="29" spans="1:9">
      <c r="A29" s="7"/>
      <c r="C29" s="42" t="s">
        <v>48</v>
      </c>
      <c r="D29" s="49">
        <v>0.33333333333333331</v>
      </c>
    </row>
    <row r="30" spans="1:9">
      <c r="C30" s="42" t="s">
        <v>49</v>
      </c>
      <c r="D30" s="49">
        <v>0.16666666666666666</v>
      </c>
    </row>
    <row r="31" spans="1:9" ht="38.25">
      <c r="A31" s="21" t="s">
        <v>23</v>
      </c>
      <c r="B31" s="21" t="s">
        <v>24</v>
      </c>
      <c r="C31" s="21" t="s">
        <v>25</v>
      </c>
      <c r="D31" s="43" t="s">
        <v>50</v>
      </c>
      <c r="E31" s="44" t="s">
        <v>27</v>
      </c>
      <c r="F31" s="44" t="s">
        <v>28</v>
      </c>
      <c r="G31" s="43" t="s">
        <v>51</v>
      </c>
      <c r="H31" s="43" t="s">
        <v>52</v>
      </c>
    </row>
    <row r="32" spans="1:9">
      <c r="A32" s="25">
        <v>1</v>
      </c>
      <c r="B32" s="25" t="s">
        <v>29</v>
      </c>
      <c r="C32" s="5">
        <v>1037197</v>
      </c>
      <c r="D32" s="45" t="s">
        <v>30</v>
      </c>
      <c r="E32" s="45" t="s">
        <v>30</v>
      </c>
      <c r="F32" s="45" t="s">
        <v>30</v>
      </c>
      <c r="G32" s="45" t="s">
        <v>30</v>
      </c>
      <c r="H32" s="45" t="s">
        <v>30</v>
      </c>
    </row>
    <row r="33" spans="1:8">
      <c r="A33" s="25">
        <v>2</v>
      </c>
      <c r="B33" s="25" t="s">
        <v>31</v>
      </c>
      <c r="C33" s="5">
        <v>762914</v>
      </c>
      <c r="D33" s="45" t="s">
        <v>30</v>
      </c>
      <c r="E33" s="45" t="s">
        <v>30</v>
      </c>
      <c r="F33" s="45" t="s">
        <v>30</v>
      </c>
      <c r="G33" s="45" t="s">
        <v>30</v>
      </c>
      <c r="H33" s="45" t="s">
        <v>30</v>
      </c>
    </row>
    <row r="34" spans="1:8">
      <c r="A34" s="25">
        <v>3</v>
      </c>
      <c r="B34" s="25" t="s">
        <v>32</v>
      </c>
      <c r="C34" s="5">
        <v>632502</v>
      </c>
      <c r="D34" s="45" t="s">
        <v>30</v>
      </c>
      <c r="E34" s="45" t="s">
        <v>30</v>
      </c>
      <c r="F34" s="45" t="s">
        <v>30</v>
      </c>
      <c r="G34" s="45" t="s">
        <v>30</v>
      </c>
      <c r="H34" s="45" t="s">
        <v>30</v>
      </c>
    </row>
    <row r="35" spans="1:8">
      <c r="A35" s="25">
        <v>4</v>
      </c>
      <c r="B35" s="25" t="s">
        <v>33</v>
      </c>
      <c r="C35" s="5">
        <v>791008</v>
      </c>
      <c r="D35" s="46">
        <f>$D$28*C34+$D$29*C33+$D$30*C32</f>
        <v>743421.83333333326</v>
      </c>
      <c r="E35" s="46">
        <f>C35-D35</f>
        <v>47586.166666666744</v>
      </c>
      <c r="F35" s="46">
        <f>ABS(E35)</f>
        <v>47586.166666666744</v>
      </c>
      <c r="G35" s="46">
        <f>E35^2</f>
        <v>2264443258.0277853</v>
      </c>
      <c r="H35" s="46">
        <f>F35/C35</f>
        <v>6.0158894305325283E-2</v>
      </c>
    </row>
    <row r="36" spans="1:8">
      <c r="A36" s="25">
        <v>5</v>
      </c>
      <c r="B36" s="25" t="s">
        <v>34</v>
      </c>
      <c r="C36" s="5">
        <v>821441</v>
      </c>
      <c r="D36" s="46">
        <f t="shared" ref="D36:D43" si="4">$D$28*C35+$D$29*C34+$D$30*C33</f>
        <v>733490.33333333337</v>
      </c>
      <c r="E36" s="46">
        <f t="shared" ref="E36:E43" si="5">C36-D36</f>
        <v>87950.666666666628</v>
      </c>
      <c r="F36" s="46">
        <f t="shared" ref="F36:F43" si="6">ABS(E36)</f>
        <v>87950.666666666628</v>
      </c>
      <c r="G36" s="46">
        <f t="shared" ref="G36:G43" si="7">E36^2</f>
        <v>7735319767.111104</v>
      </c>
      <c r="H36" s="46">
        <f t="shared" ref="H36:H43" si="8">F36/C36</f>
        <v>0.10706875681475192</v>
      </c>
    </row>
    <row r="37" spans="1:8">
      <c r="A37" s="25">
        <v>6</v>
      </c>
      <c r="B37" s="25" t="s">
        <v>35</v>
      </c>
      <c r="C37" s="5">
        <v>766012</v>
      </c>
      <c r="D37" s="46">
        <f t="shared" si="4"/>
        <v>779806.83333333326</v>
      </c>
      <c r="E37" s="46">
        <f t="shared" si="5"/>
        <v>-13794.833333333256</v>
      </c>
      <c r="F37" s="46">
        <f t="shared" si="6"/>
        <v>13794.833333333256</v>
      </c>
      <c r="G37" s="46">
        <f t="shared" si="7"/>
        <v>190297426.6944423</v>
      </c>
      <c r="H37" s="46">
        <f t="shared" si="8"/>
        <v>1.8008638681030135E-2</v>
      </c>
    </row>
    <row r="38" spans="1:8">
      <c r="A38" s="25">
        <v>7</v>
      </c>
      <c r="B38" s="25" t="s">
        <v>36</v>
      </c>
      <c r="C38" s="5">
        <v>703832</v>
      </c>
      <c r="D38" s="46">
        <f t="shared" si="4"/>
        <v>788654.33333333326</v>
      </c>
      <c r="E38" s="46">
        <f t="shared" si="5"/>
        <v>-84822.333333333256</v>
      </c>
      <c r="F38" s="46">
        <f t="shared" si="6"/>
        <v>84822.333333333256</v>
      </c>
      <c r="G38" s="46">
        <f t="shared" si="7"/>
        <v>7194828232.1110983</v>
      </c>
      <c r="H38" s="46">
        <f t="shared" si="8"/>
        <v>0.1205150282074888</v>
      </c>
    </row>
    <row r="39" spans="1:8">
      <c r="A39" s="25">
        <v>8</v>
      </c>
      <c r="B39" s="25" t="s">
        <v>37</v>
      </c>
      <c r="C39" s="5">
        <v>645938</v>
      </c>
      <c r="D39" s="46">
        <f t="shared" si="4"/>
        <v>744160.16666666651</v>
      </c>
      <c r="E39" s="46">
        <f t="shared" si="5"/>
        <v>-98222.166666666511</v>
      </c>
      <c r="F39" s="46">
        <f t="shared" si="6"/>
        <v>98222.166666666511</v>
      </c>
      <c r="G39" s="46">
        <f t="shared" si="7"/>
        <v>9647594024.6944141</v>
      </c>
      <c r="H39" s="46">
        <f t="shared" si="8"/>
        <v>0.15206129174420224</v>
      </c>
    </row>
    <row r="40" spans="1:8">
      <c r="A40" s="25">
        <v>9</v>
      </c>
      <c r="B40" s="25" t="s">
        <v>38</v>
      </c>
      <c r="C40" s="5">
        <v>759625</v>
      </c>
      <c r="D40" s="46">
        <f t="shared" si="4"/>
        <v>685248.33333333326</v>
      </c>
      <c r="E40" s="46">
        <f t="shared" si="5"/>
        <v>74376.666666666744</v>
      </c>
      <c r="F40" s="46">
        <f t="shared" si="6"/>
        <v>74376.666666666744</v>
      </c>
      <c r="G40" s="46">
        <f t="shared" si="7"/>
        <v>5531888544.4444561</v>
      </c>
      <c r="H40" s="46">
        <f t="shared" si="8"/>
        <v>9.7912347101091646E-2</v>
      </c>
    </row>
    <row r="41" spans="1:8">
      <c r="A41" s="25">
        <v>10</v>
      </c>
      <c r="B41" s="25" t="s">
        <v>39</v>
      </c>
      <c r="C41" s="5">
        <v>816949</v>
      </c>
      <c r="D41" s="46">
        <f t="shared" si="4"/>
        <v>712430.5</v>
      </c>
      <c r="E41" s="46">
        <f t="shared" si="5"/>
        <v>104518.5</v>
      </c>
      <c r="F41" s="46">
        <f t="shared" si="6"/>
        <v>104518.5</v>
      </c>
      <c r="G41" s="46">
        <f t="shared" si="7"/>
        <v>10924116842.25</v>
      </c>
      <c r="H41" s="46">
        <f t="shared" si="8"/>
        <v>0.12793760687631664</v>
      </c>
    </row>
    <row r="42" spans="1:8">
      <c r="A42" s="25">
        <v>11</v>
      </c>
      <c r="B42" s="25" t="s">
        <v>40</v>
      </c>
      <c r="C42" s="5">
        <v>730140</v>
      </c>
      <c r="D42" s="46">
        <f t="shared" si="4"/>
        <v>769339.16666666663</v>
      </c>
      <c r="E42" s="46">
        <f t="shared" si="5"/>
        <v>-39199.166666666628</v>
      </c>
      <c r="F42" s="46">
        <f t="shared" si="6"/>
        <v>39199.166666666628</v>
      </c>
      <c r="G42" s="46">
        <f t="shared" si="7"/>
        <v>1536574667.3611081</v>
      </c>
      <c r="H42" s="46">
        <f t="shared" si="8"/>
        <v>5.3687192410587871E-2</v>
      </c>
    </row>
    <row r="43" spans="1:8">
      <c r="A43" s="29">
        <v>12</v>
      </c>
      <c r="B43" s="29" t="s">
        <v>41</v>
      </c>
      <c r="C43" s="19">
        <v>690674</v>
      </c>
      <c r="D43" s="46">
        <f t="shared" si="4"/>
        <v>763990.49999999988</v>
      </c>
      <c r="E43" s="46">
        <f t="shared" si="5"/>
        <v>-73316.499999999884</v>
      </c>
      <c r="F43" s="46">
        <f t="shared" si="6"/>
        <v>73316.499999999884</v>
      </c>
      <c r="G43" s="46">
        <f t="shared" si="7"/>
        <v>5375309172.2499828</v>
      </c>
      <c r="H43" s="46">
        <f t="shared" si="8"/>
        <v>0.1061521064930776</v>
      </c>
    </row>
    <row r="44" spans="1:8">
      <c r="E44" s="30">
        <f>AVERAGE(E35:E43)</f>
        <v>564.11111111117577</v>
      </c>
      <c r="F44" s="31">
        <f>AVERAGE(F35:F43)</f>
        <v>69309.666666666628</v>
      </c>
      <c r="G44" s="31">
        <f>AVERAGE(G35:G43)</f>
        <v>5600041326.1049328</v>
      </c>
      <c r="H44" s="48">
        <f>AVERAGE(H35:H43)</f>
        <v>9.3722429181541334E-2</v>
      </c>
    </row>
    <row r="45" spans="1:8">
      <c r="E45" s="34" t="s">
        <v>42</v>
      </c>
      <c r="F45" s="35" t="s">
        <v>43</v>
      </c>
      <c r="G45" s="35" t="s">
        <v>44</v>
      </c>
      <c r="H45" s="47" t="s">
        <v>14</v>
      </c>
    </row>
    <row r="47" spans="1:8">
      <c r="A47" s="39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</vt:lpstr>
      <vt:lpstr>Double</vt:lpstr>
      <vt:lpstr>Compare</vt:lpstr>
      <vt:lpstr>Moving Avg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2018-02-10T16:18:53Z</dcterms:created>
  <dcterms:modified xsi:type="dcterms:W3CDTF">2018-02-10T19:19:30Z</dcterms:modified>
</cp:coreProperties>
</file>